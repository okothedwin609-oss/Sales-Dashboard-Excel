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FD205DCA-A6A4-4848-BD95-DFAC98D9BEAB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sales person perfomance" sheetId="8" r:id="rId1"/>
    <sheet name="product strategy" sheetId="5" r:id="rId2"/>
    <sheet name="regional perfomance" sheetId="6" r:id="rId3"/>
    <sheet name="Sheet6" sheetId="10" r:id="rId4"/>
    <sheet name="Raw Data" sheetId="1" r:id="rId5"/>
    <sheet name="Product Lookup" sheetId="2" r:id="rId6"/>
    <sheet name="Project Tasks" sheetId="3" r:id="rId7"/>
    <sheet name="Sales Dashboard" sheetId="4" r:id="rId8"/>
  </sheets>
  <definedNames>
    <definedName name="_xlnm._FilterDatabase" localSheetId="4" hidden="1">'Raw Data'!$A$1:$K$61</definedName>
  </definedNames>
  <calcPr calcId="191029"/>
  <pivotCaches>
    <pivotCache cacheId="15" r:id="rId9"/>
    <pivotCache cacheId="1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A63" i="1"/>
  <c r="C9" i="4"/>
  <c r="A9" i="4"/>
  <c r="J62" i="1"/>
  <c r="P18" i="1"/>
  <c r="P12" i="1"/>
  <c r="P13" i="1"/>
  <c r="P14" i="1"/>
  <c r="P11" i="1"/>
  <c r="P6" i="1"/>
  <c r="P5" i="1"/>
  <c r="P2" i="1"/>
  <c r="P3" i="1"/>
  <c r="P4" i="1"/>
  <c r="N8" i="1"/>
  <c r="N3" i="1"/>
  <c r="N5" i="1"/>
  <c r="N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</calcChain>
</file>

<file path=xl/sharedStrings.xml><?xml version="1.0" encoding="utf-8"?>
<sst xmlns="http://schemas.openxmlformats.org/spreadsheetml/2006/main" count="555" uniqueCount="175">
  <si>
    <t>Order ID</t>
  </si>
  <si>
    <t>Date</t>
  </si>
  <si>
    <t>Salesperson</t>
  </si>
  <si>
    <t>Region</t>
  </si>
  <si>
    <t>Customer</t>
  </si>
  <si>
    <t>Product</t>
  </si>
  <si>
    <t>Category</t>
  </si>
  <si>
    <t>Units</t>
  </si>
  <si>
    <t>Unit Price</t>
  </si>
  <si>
    <t>Revenue</t>
  </si>
  <si>
    <t>Payment Method</t>
  </si>
  <si>
    <t>ORD-1001</t>
  </si>
  <si>
    <t>Mary</t>
  </si>
  <si>
    <t>Nairobi</t>
  </si>
  <si>
    <t>Delta Stores</t>
  </si>
  <si>
    <t>Tablet</t>
  </si>
  <si>
    <t>Electronics</t>
  </si>
  <si>
    <t>M-Pesa</t>
  </si>
  <si>
    <t>ORD-1002</t>
  </si>
  <si>
    <t>Aisha</t>
  </si>
  <si>
    <t>Western</t>
  </si>
  <si>
    <t>Alpha Traders</t>
  </si>
  <si>
    <t>Office Chair</t>
  </si>
  <si>
    <t>Furniture</t>
  </si>
  <si>
    <t>Cash</t>
  </si>
  <si>
    <t>ORD-1003</t>
  </si>
  <si>
    <t>Coast</t>
  </si>
  <si>
    <t>Kilifi Mart</t>
  </si>
  <si>
    <t>Headphones</t>
  </si>
  <si>
    <t>Accessories</t>
  </si>
  <si>
    <t>ORD-1004</t>
  </si>
  <si>
    <t>Kevin</t>
  </si>
  <si>
    <t>Mavuno Ltd</t>
  </si>
  <si>
    <t>Card</t>
  </si>
  <si>
    <t>ORD-1005</t>
  </si>
  <si>
    <t>John</t>
  </si>
  <si>
    <t>Central</t>
  </si>
  <si>
    <t>Eastline Ltd</t>
  </si>
  <si>
    <t>Smartphone</t>
  </si>
  <si>
    <t>ORD-1006</t>
  </si>
  <si>
    <t>Brian</t>
  </si>
  <si>
    <t>Bright Solutions</t>
  </si>
  <si>
    <t>Mouse</t>
  </si>
  <si>
    <t>ORD-1007</t>
  </si>
  <si>
    <t>Desk</t>
  </si>
  <si>
    <t>ORD-1008</t>
  </si>
  <si>
    <t>ORD-1009</t>
  </si>
  <si>
    <t>ORD-1010</t>
  </si>
  <si>
    <t>Coast Supplies</t>
  </si>
  <si>
    <t>Monitor</t>
  </si>
  <si>
    <t>ORD-1011</t>
  </si>
  <si>
    <t>ORD-1012</t>
  </si>
  <si>
    <t>ORD-1013</t>
  </si>
  <si>
    <t>GreenTech</t>
  </si>
  <si>
    <t>Bank Transfer</t>
  </si>
  <si>
    <t>ORD-1014</t>
  </si>
  <si>
    <t>ORD-1015</t>
  </si>
  <si>
    <t>Printer</t>
  </si>
  <si>
    <t>Office</t>
  </si>
  <si>
    <t>ORD-1016</t>
  </si>
  <si>
    <t>ORD-1017</t>
  </si>
  <si>
    <t>ORD-1018</t>
  </si>
  <si>
    <t>Horizon Shop</t>
  </si>
  <si>
    <t>ORD-1019</t>
  </si>
  <si>
    <t>Nexus Supplies</t>
  </si>
  <si>
    <t>Keyboard</t>
  </si>
  <si>
    <t>ORD-1020</t>
  </si>
  <si>
    <t>ORD-1021</t>
  </si>
  <si>
    <t>ORD-1022</t>
  </si>
  <si>
    <t>ORD-1023</t>
  </si>
  <si>
    <t>Jambo Enterprises</t>
  </si>
  <si>
    <t>ORD-1024</t>
  </si>
  <si>
    <t>ORD-1025</t>
  </si>
  <si>
    <t>ORD-1026</t>
  </si>
  <si>
    <t>ORD-1027</t>
  </si>
  <si>
    <t>ORD-1028</t>
  </si>
  <si>
    <t>ORD-1029</t>
  </si>
  <si>
    <t>nairobi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</si>
  <si>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</si>
  <si>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</si>
  <si>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</si>
  <si>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</si>
  <si>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</si>
  <si>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</si>
  <si>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</si>
  <si>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</si>
  <si>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</si>
  <si>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</si>
  <si>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</si>
  <si>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Ocean View Ltd</t>
  </si>
  <si>
    <t>Laptop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</si>
  <si>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</si>
  <si>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</si>
  <si>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</si>
  <si>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</si>
  <si>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</si>
  <si>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</si>
  <si>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</si>
  <si>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</si>
  <si>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</si>
  <si>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</si>
  <si>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</si>
  <si>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</si>
  <si>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</si>
  <si>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</si>
  <si>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</si>
  <si>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mary</t>
  </si>
  <si>
    <t>ORD-1056</t>
  </si>
  <si>
    <t>ORD-1057</t>
  </si>
  <si>
    <t>ORD-1058</t>
  </si>
  <si>
    <t>ORD-1059</t>
  </si>
  <si>
    <t>ORD-1060</t>
  </si>
  <si>
    <t>PHASE 1 — EXCEL SALES ANALYTICS PROJECT</t>
  </si>
  <si>
    <t>Goal</t>
  </si>
  <si>
    <t>Clean the sales data, analyze it, and build a professional Sales Analytics Dashboard.</t>
  </si>
  <si>
    <t>STEP 1 — CLEANING</t>
  </si>
  <si>
    <t>Find and remove the duplicate order.</t>
  </si>
  <si>
    <t>Find the blank/missing customer values.</t>
  </si>
  <si>
    <t>Standardize inconsistent names such as 'nairobi' and 'mary'.</t>
  </si>
  <si>
    <t>Check that Revenue = Units × Unit Price.</t>
  </si>
  <si>
    <t>STEP 2 — FORMULAS &amp; ANALYSIS</t>
  </si>
  <si>
    <t>Calculate Total Revenue.</t>
  </si>
  <si>
    <t>Calculate Total Units Sold.</t>
  </si>
  <si>
    <t>Calculate Average Order Revenue.</t>
  </si>
  <si>
    <t>Use SUMIF/SUMIFS to calculate revenue by salesperson.</t>
  </si>
  <si>
    <t>Use COUNTIF/COUNTIFS to count orders by region.</t>
  </si>
  <si>
    <t>Use XLOOKUP to return the category or price for a selected product from Product Lookup.</t>
  </si>
  <si>
    <t>Identify the highest-revenue product.</t>
  </si>
  <si>
    <t>Identify the best-performing salesperson.</t>
  </si>
  <si>
    <t>Compare revenue across regions.</t>
  </si>
  <si>
    <t>Analyze monthly revenue trends.</t>
  </si>
  <si>
    <t>STEP 3 — PIVOT TABLES</t>
  </si>
  <si>
    <t>Create a Pivot Table showing Revenue by Product.</t>
  </si>
  <si>
    <t>Create a Pivot Table showing Revenue by Salesperson and Region.</t>
  </si>
  <si>
    <t>Create a Pivot Table showing monthly Revenue.</t>
  </si>
  <si>
    <t>Create a Pivot Chart for the monthly trend.</t>
  </si>
  <si>
    <t>STEP 4 — DASHBOARD</t>
  </si>
  <si>
    <t>Create KPI cards: Total Revenue, Total Units, Number of Orders, Average Order Value.</t>
  </si>
  <si>
    <t>Add a Revenue by Product chart.</t>
  </si>
  <si>
    <t>Add a Revenue by Salesperson chart.</t>
  </si>
  <si>
    <t>Add a Monthly Revenue Trend chart.</t>
  </si>
  <si>
    <t>Add Region and Product filters/slicers if available.</t>
  </si>
  <si>
    <t>Give the dashboard a clean professional title and formatting.</t>
  </si>
  <si>
    <t>FINAL QUESTIONS</t>
  </si>
  <si>
    <t>Which product generated the most revenue?</t>
  </si>
  <si>
    <t>Which salesperson performed best?</t>
  </si>
  <si>
    <t>Which region generated the most revenue?</t>
  </si>
  <si>
    <t>Which month had the highest revenue?</t>
  </si>
  <si>
    <t>What business recommendation would you give based on the data?</t>
  </si>
  <si>
    <t>SALES ANALYTICS DASHBOARD</t>
  </si>
  <si>
    <t>KPI CARDS</t>
  </si>
  <si>
    <t>Total Revenue</t>
  </si>
  <si>
    <t>Total Units</t>
  </si>
  <si>
    <t>Orders</t>
  </si>
  <si>
    <t>Average Order Value</t>
  </si>
  <si>
    <t>reveue check</t>
  </si>
  <si>
    <t>salesperson</t>
  </si>
  <si>
    <t>brian</t>
  </si>
  <si>
    <t>kevin</t>
  </si>
  <si>
    <t>john</t>
  </si>
  <si>
    <t>aisha</t>
  </si>
  <si>
    <t>total revenue</t>
  </si>
  <si>
    <t>region</t>
  </si>
  <si>
    <t>coast</t>
  </si>
  <si>
    <t>central</t>
  </si>
  <si>
    <t>western</t>
  </si>
  <si>
    <t>number of orders</t>
  </si>
  <si>
    <t>product</t>
  </si>
  <si>
    <t>category</t>
  </si>
  <si>
    <t>printer</t>
  </si>
  <si>
    <t>Row Labels</t>
  </si>
  <si>
    <t>Grand Total</t>
  </si>
  <si>
    <t>Sum of Revenue</t>
  </si>
  <si>
    <t>Column Labels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</si>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</sst>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yy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0"/>
      <color rgb="FFFFFFFF"/>
      <name val="Calibri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0" fontId="1" fillId="3" borderId="0" xfId="0" applyFont="1" applyFill="1"/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0" fillId="0" borderId="0" xfId="0"/>
    <xf numFmtId="0" fontId="8" fillId="0" borderId="0" xfId="0" applyFont="1"/>
    <xf numFmtId="0" fontId="9" fillId="4" borderId="0" xfId="0" applyFont="1" applyFill="1"/>
    <xf numFmtId="44" fontId="10" fillId="0" borderId="0" xfId="2" applyFont="1"/>
    <xf numFmtId="44" fontId="11" fillId="0" borderId="0" xfId="2" applyFont="1"/>
    <xf numFmtId="1" fontId="10" fillId="0" borderId="0" xfId="1" applyNumberFormat="1" applyFont="1"/>
    <xf numFmtId="1" fontId="10" fillId="0" borderId="0" xfId="0" applyNumberFormat="1" applyFont="1"/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[Phase_1_Excel_Sales_Analytics_Project.xlsx]Sheet6!PivotTable5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SALES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2537182852143"/>
          <c:y val="0.22624781277340328"/>
          <c:w val="0.7231227034120735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Aisha</c:v>
                </c:pt>
                <c:pt idx="1">
                  <c:v>Brian</c:v>
                </c:pt>
                <c:pt idx="2">
                  <c:v>John</c:v>
                </c:pt>
                <c:pt idx="3">
                  <c:v>Kevin</c:v>
                </c:pt>
                <c:pt idx="4">
                  <c:v>Mary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1297000</c:v>
                </c:pt>
                <c:pt idx="1">
                  <c:v>1116500</c:v>
                </c:pt>
                <c:pt idx="2">
                  <c:v>1725500</c:v>
                </c:pt>
                <c:pt idx="3">
                  <c:v>1016000</c:v>
                </c:pt>
                <c:pt idx="4">
                  <c:v>1072500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2DD-8E31-A0F2FF30D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848000"/>
        <c:axId val="946658176"/>
      </c:barChart>
      <c:catAx>
        <c:axId val="12488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58176"/>
        <c:crosses val="autoZero"/>
        <c:auto val="1"/>
        <c:lblAlgn val="ctr"/>
        <c:lblOffset val="100"/>
        <c:noMultiLvlLbl val="0"/>
      </c:catAx>
      <c:valAx>
        <c:axId val="9466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4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[Phase_1_Excel_Sales_Analytics_Project.xlsx]regional perfomance!PivotTable2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49781277340329"/>
          <c:y val="0.32707895888014005"/>
          <c:w val="0.71065026246719165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'regional perfomance'!$B$3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perfomance'!$A$4:$A$8</c:f>
              <c:strCache>
                <c:ptCount val="4"/>
                <c:pt idx="0">
                  <c:v>Central</c:v>
                </c:pt>
                <c:pt idx="1">
                  <c:v>Coast</c:v>
                </c:pt>
                <c:pt idx="2">
                  <c:v>Nairobi</c:v>
                </c:pt>
                <c:pt idx="3">
                  <c:v>Western</c:v>
                </c:pt>
              </c:strCache>
            </c:strRef>
          </c:cat>
          <c:val>
            <c:numRef>
              <c:f>'regional perfomance'!$B$4:$B$8</c:f>
              <c:numCache>
                <c:formatCode>#,##0</c:formatCode>
                <c:ptCount val="4"/>
                <c:pt idx="0">
                  <c:v>1568000</c:v>
                </c:pt>
                <c:pt idx="1">
                  <c:v>1456500</c:v>
                </c:pt>
                <c:pt idx="2">
                  <c:v>2384500</c:v>
                </c:pt>
                <c:pt idx="3">
                  <c:v>818500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B-4C13-A343-5CDAA606D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282672"/>
        <c:axId val="946693696"/>
      </c:barChart>
      <c:catAx>
        <c:axId val="12062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93696"/>
        <c:crosses val="autoZero"/>
        <c:auto val="1"/>
        <c:lblAlgn val="ctr"/>
        <c:lblOffset val="100"/>
        <c:noMultiLvlLbl val="0"/>
      </c:catAx>
      <c:valAx>
        <c:axId val="9466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[Phase_1_Excel_Sales_Analytics_Project.xlsx]product strategy!PivotTable1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strategy'!$B$3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strategy'!$A$4:$A$14</c:f>
              <c:strCache>
                <c:ptCount val="10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  <c:pt idx="7">
                  <c:v>Printer</c:v>
                </c:pt>
                <c:pt idx="8">
                  <c:v>Smartphone</c:v>
                </c:pt>
                <c:pt idx="9">
                  <c:v>Tablet</c:v>
                </c:pt>
              </c:strCache>
            </c:strRef>
          </c:cat>
          <c:val>
            <c:numRef>
              <c:f>'product strategy'!$B$4:$B$14</c:f>
              <c:numCache>
                <c:formatCode>#,##0</c:formatCode>
                <c:ptCount val="10"/>
                <c:pt idx="0">
                  <c:v>240000</c:v>
                </c:pt>
                <c:pt idx="1">
                  <c:v>288000</c:v>
                </c:pt>
                <c:pt idx="2">
                  <c:v>50000</c:v>
                </c:pt>
                <c:pt idx="3">
                  <c:v>1885000</c:v>
                </c:pt>
                <c:pt idx="4">
                  <c:v>864000</c:v>
                </c:pt>
                <c:pt idx="5">
                  <c:v>37500</c:v>
                </c:pt>
                <c:pt idx="6">
                  <c:v>492000</c:v>
                </c:pt>
                <c:pt idx="7">
                  <c:v>726000</c:v>
                </c:pt>
                <c:pt idx="8">
                  <c:v>775000</c:v>
                </c:pt>
                <c:pt idx="9">
                  <c:v>870000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1-4B32-8515-5720A0F5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609168"/>
        <c:axId val="946649536"/>
      </c:barChart>
      <c:catAx>
        <c:axId val="12056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49536"/>
        <c:crosses val="autoZero"/>
        <c:auto val="1"/>
        <c:lblAlgn val="ctr"/>
        <c:lblOffset val="100"/>
        <c:noMultiLvlLbl val="0"/>
      </c:catAx>
      <c:valAx>
        <c:axId val="9466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0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10</xdr:row>
      <xdr:rowOff>50800</xdr:rowOff>
    </xdr:from>
    <xdr:to>
      <xdr:col>5</xdr:col>
      <xdr:colOff>1181100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D4CBA-0FF6-4FF9-B82F-8476E78E5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584200</xdr:colOff>
      <xdr:row>27</xdr:row>
      <xdr:rowOff>6350</xdr:rowOff>
    </xdr:from>
    <xdr:to>
      <xdr:col>6</xdr:col>
      <xdr:colOff>127000</xdr:colOff>
      <xdr:row>41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A42B2A-32B6-4779-9463-9B3301361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933450</xdr:colOff>
      <xdr:row>45</xdr:row>
      <xdr:rowOff>114300</xdr:rowOff>
    </xdr:from>
    <xdr:to>
      <xdr:col>6</xdr:col>
      <xdr:colOff>476250</xdr:colOff>
      <xdr:row>60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D128F-BC0E-4D07-A6FF-D4D540600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1.488955092595" createdVersion="8" refreshedVersion="8" minRefreshableVersion="3" recordCount="60" xr:uid="{BFCEC0FE-63BF-49B5-9201-52F73392B46B}">
  <cacheSource type="worksheet">
    <worksheetSource ref="A1:L61" sheet="Raw Data"/>
  </cacheSource>
  <cacheFields count="14">
    <cacheField name="Order ID" numFmtId="0">
      <sharedItems/>
    </cacheField>
    <cacheField name="Date" numFmtId="164">
      <sharedItems containsSemiMixedTypes="0" containsNonDate="0" containsDate="1" containsString="0" minDate="2026-01-01T00:00:00" maxDate="2026-07-01T00:00:00" count="57">
        <d v="2026-06-13T00:00:00"/>
        <d v="2026-01-27T00:00:00"/>
        <d v="2026-01-24T00:00:00"/>
        <d v="2026-06-16T00:00:00"/>
        <d v="2026-01-02T00:00:00"/>
        <d v="2026-02-25T00:00:00"/>
        <d v="2026-03-30T00:00:00"/>
        <d v="2026-04-07T00:00:00"/>
        <d v="2026-06-30T00:00:00"/>
        <d v="2026-01-26T00:00:00"/>
        <d v="2026-04-01T00:00:00"/>
        <d v="2026-05-17T00:00:00"/>
        <d v="2026-06-25T00:00:00"/>
        <d v="2026-03-10T00:00:00"/>
        <d v="2026-04-12T00:00:00"/>
        <d v="2026-05-30T00:00:00"/>
        <d v="2026-05-11T00:00:00"/>
        <d v="2026-06-24T00:00:00"/>
        <d v="2026-05-16T00:00:00"/>
        <d v="2026-06-14T00:00:00"/>
        <d v="2026-01-01T00:00:00"/>
        <d v="2026-05-19T00:00:00"/>
        <d v="2026-01-29T00:00:00"/>
        <d v="2026-01-22T00:00:00"/>
        <d v="2026-05-21T00:00:00"/>
        <d v="2026-03-21T00:00:00"/>
        <d v="2026-01-31T00:00:00"/>
        <d v="2026-05-31T00:00:00"/>
        <d v="2026-01-09T00:00:00"/>
        <d v="2026-02-24T00:00:00"/>
        <d v="2026-04-15T00:00:00"/>
        <d v="2026-04-16T00:00:00"/>
        <d v="2026-03-28T00:00:00"/>
        <d v="2026-02-05T00:00:00"/>
        <d v="2026-04-24T00:00:00"/>
        <d v="2026-02-12T00:00:00"/>
        <d v="2026-04-19T00:00:00"/>
        <d v="2026-01-15T00:00:00"/>
        <d v="2026-02-17T00:00:00"/>
        <d v="2026-05-26T00:00:00"/>
        <d v="2026-04-18T00:00:00"/>
        <d v="2026-06-21T00:00:00"/>
        <d v="2026-04-28T00:00:00"/>
        <d v="2026-01-19T00:00:00"/>
        <d v="2026-01-18T00:00:00"/>
        <d v="2026-06-06T00:00:00"/>
        <d v="2026-02-04T00:00:00"/>
        <d v="2026-06-04T00:00:00"/>
        <d v="2026-05-10T00:00:00"/>
        <d v="2026-03-12T00:00:00"/>
        <d v="2026-02-11T00:00:00"/>
        <d v="2026-06-26T00:00:00"/>
        <d v="2026-04-21T00:00:00"/>
        <d v="2026-02-23T00:00:00"/>
        <d v="2026-06-08T00:00:00"/>
        <d v="2026-02-15T00:00:00"/>
        <d v="2026-04-08T00:00:00"/>
      </sharedItems>
      <fieldGroup par="13"/>
    </cacheField>
    <cacheField name="Salesperson" numFmtId="0">
      <sharedItems count="5">
        <s v="Mary"/>
        <s v="Aisha"/>
        <s v="Kevin"/>
        <s v="John"/>
        <s v="Brian"/>
      </sharedItems>
    </cacheField>
    <cacheField name="Region" numFmtId="0">
      <sharedItems count="4">
        <s v="Nairobi"/>
        <s v="Western"/>
        <s v="Coast"/>
        <s v="Central"/>
      </sharedItems>
    </cacheField>
    <cacheField name="Customer" numFmtId="0">
      <sharedItems containsBlank="1"/>
    </cacheField>
    <cacheField name="Product" numFmtId="0">
      <sharedItems count="10">
        <s v="Tablet"/>
        <s v="Office Chair"/>
        <s v="Headphones"/>
        <s v="Smartphone"/>
        <s v="Mouse"/>
        <s v="Desk"/>
        <s v="Monitor"/>
        <s v="Printer"/>
        <s v="Keyboard"/>
        <s v="Laptop"/>
      </sharedItems>
    </cacheField>
    <cacheField name="Category" numFmtId="0">
      <sharedItems/>
    </cacheField>
    <cacheField name="Units" numFmtId="0">
      <sharedItems containsSemiMixedTypes="0" containsString="0" containsNumber="1" containsInteger="1" minValue="1" maxValue="12"/>
    </cacheField>
    <cacheField name="Unit Price" numFmtId="3">
      <sharedItems containsSemiMixedTypes="0" containsString="0" containsNumber="1" containsInteger="1" minValue="1500" maxValue="65000"/>
    </cacheField>
    <cacheField name="Revenue" numFmtId="3">
      <sharedItems containsSemiMixedTypes="0" containsString="0" containsNumber="1" containsInteger="1" minValue="1500" maxValue="650000"/>
    </cacheField>
    <cacheField name="Payment Method" numFmtId="0">
      <sharedItems/>
    </cacheField>
    <cacheField name="reveue check" numFmtId="0">
      <sharedItems/>
    </cacheField>
    <cacheField name="Days (Date)" numFmtId="0" databaseField="0">
      <fieldGroup base="1">
        <rangePr groupBy="days" startDate="2026-01-01T00:00:00" endDate="2026-07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/2026"/>
        </groupItems>
      </fieldGroup>
    </cacheField>
    <cacheField name="Months (Date)" numFmtId="0" databaseField="0">
      <fieldGroup base="1">
        <rangePr groupBy="months" startDate="2026-01-01T00:00:00" endDate="2026-07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7.54407916667" createdVersion="8" refreshedVersion="8" minRefreshableVersion="3" recordCount="62" xr:uid="{9C184D4C-401B-4621-9095-622AF234FA1D}">
  <cacheSource type="worksheet">
    <worksheetSource ref="A1:L63" sheet="Raw Data"/>
  </cacheSource>
  <cacheFields count="12">
    <cacheField name="Order ID" numFmtId="0">
      <sharedItems containsBlank="1" containsMixedTypes="1" containsNumber="1" containsInteger="1" minValue="60" maxValue="60"/>
    </cacheField>
    <cacheField name="Date" numFmtId="0">
      <sharedItems containsNonDate="0" containsDate="1" containsString="0" containsBlank="1" minDate="2026-01-01T00:00:00" maxDate="2026-07-01T00:00:00"/>
    </cacheField>
    <cacheField name="Salesperson" numFmtId="0">
      <sharedItems containsBlank="1" count="6">
        <s v="Mary"/>
        <s v="Aisha"/>
        <s v="Kevin"/>
        <s v="John"/>
        <s v="Brian"/>
        <m/>
      </sharedItems>
    </cacheField>
    <cacheField name="Region" numFmtId="0">
      <sharedItems containsBlank="1"/>
    </cacheField>
    <cacheField name="Customer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Units" numFmtId="0">
      <sharedItems containsString="0" containsBlank="1" containsNumber="1" containsInteger="1" minValue="1" maxValue="12"/>
    </cacheField>
    <cacheField name="Unit Price" numFmtId="0">
      <sharedItems containsBlank="1" containsMixedTypes="1" containsNumber="1" containsInteger="1" minValue="1500" maxValue="65000"/>
    </cacheField>
    <cacheField name="Revenue" numFmtId="0">
      <sharedItems containsString="0" containsBlank="1" containsNumber="1" containsInteger="1" minValue="1500" maxValue="6227500"/>
    </cacheField>
    <cacheField name="Payment Method" numFmtId="0">
      <sharedItems containsBlank="1"/>
    </cacheField>
    <cacheField name="reveue 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-1001"/>
    <x v="0"/>
    <x v="0"/>
    <x v="0"/>
    <s v="Delta Stores"/>
    <x v="0"/>
    <s v="Electronics"/>
    <n v="1"/>
    <n v="30000"/>
    <n v="30000"/>
    <s v="M-Pesa"/>
    <s v="CORRECT"/>
  </r>
  <r>
    <s v="ORD-1002"/>
    <x v="1"/>
    <x v="1"/>
    <x v="1"/>
    <s v="Alpha Traders"/>
    <x v="1"/>
    <s v="Furniture"/>
    <n v="2"/>
    <n v="12000"/>
    <n v="24000"/>
    <s v="Cash"/>
    <s v="CORRECT"/>
  </r>
  <r>
    <s v="ORD-1003"/>
    <x v="2"/>
    <x v="1"/>
    <x v="2"/>
    <s v="Kilifi Mart"/>
    <x v="2"/>
    <s v="Accessories"/>
    <n v="4"/>
    <n v="4500"/>
    <n v="18000"/>
    <s v="M-Pesa"/>
    <s v="CORRECT"/>
  </r>
  <r>
    <s v="ORD-1004"/>
    <x v="3"/>
    <x v="2"/>
    <x v="1"/>
    <s v="Mavuno Ltd"/>
    <x v="1"/>
    <s v="Furniture"/>
    <n v="7"/>
    <n v="12000"/>
    <n v="84000"/>
    <s v="Card"/>
    <s v="CORRECT"/>
  </r>
  <r>
    <s v="ORD-1005"/>
    <x v="4"/>
    <x v="3"/>
    <x v="3"/>
    <s v="Eastline Ltd"/>
    <x v="3"/>
    <s v="Electronics"/>
    <n v="12"/>
    <n v="25000"/>
    <n v="300000"/>
    <s v="M-Pesa"/>
    <s v="CORRECT"/>
  </r>
  <r>
    <s v="ORD-1006"/>
    <x v="5"/>
    <x v="4"/>
    <x v="1"/>
    <s v="Bright Solutions"/>
    <x v="4"/>
    <s v="Accessories"/>
    <n v="2"/>
    <n v="1500"/>
    <n v="3000"/>
    <s v="Card"/>
    <s v="CORRECT"/>
  </r>
  <r>
    <s v="ORD-1007"/>
    <x v="6"/>
    <x v="4"/>
    <x v="1"/>
    <s v="Kilifi Mart"/>
    <x v="5"/>
    <s v="Furniture"/>
    <n v="5"/>
    <n v="16000"/>
    <n v="80000"/>
    <s v="Cash"/>
    <s v="CORRECT"/>
  </r>
  <r>
    <s v="ORD-1008"/>
    <x v="7"/>
    <x v="0"/>
    <x v="3"/>
    <s v="Mavuno Ltd"/>
    <x v="0"/>
    <s v="Electronics"/>
    <n v="9"/>
    <n v="30000"/>
    <n v="270000"/>
    <s v="M-Pesa"/>
    <s v="CORRECT"/>
  </r>
  <r>
    <s v="ORD-1009"/>
    <x v="8"/>
    <x v="2"/>
    <x v="3"/>
    <s v="Bright Solutions"/>
    <x v="0"/>
    <s v="Electronics"/>
    <n v="1"/>
    <n v="30000"/>
    <n v="30000"/>
    <s v="M-Pesa"/>
    <s v="CORRECT"/>
  </r>
  <r>
    <s v="ORD-1010"/>
    <x v="9"/>
    <x v="3"/>
    <x v="3"/>
    <s v="Coast Supplies"/>
    <x v="6"/>
    <s v="Electronics"/>
    <n v="5"/>
    <n v="18000"/>
    <n v="90000"/>
    <s v="Card"/>
    <s v="CORRECT"/>
  </r>
  <r>
    <s v="ORD-1011"/>
    <x v="10"/>
    <x v="0"/>
    <x v="2"/>
    <s v="Mavuno Ltd"/>
    <x v="2"/>
    <s v="Accessories"/>
    <n v="11"/>
    <n v="4500"/>
    <n v="49500"/>
    <s v="M-Pesa"/>
    <s v="CORRECT"/>
  </r>
  <r>
    <s v="ORD-1012"/>
    <x v="11"/>
    <x v="3"/>
    <x v="1"/>
    <s v="Eastline Ltd"/>
    <x v="2"/>
    <s v="Accessories"/>
    <n v="3"/>
    <n v="4500"/>
    <n v="13500"/>
    <s v="M-Pesa"/>
    <s v="CORRECT"/>
  </r>
  <r>
    <s v="ORD-1013"/>
    <x v="12"/>
    <x v="2"/>
    <x v="2"/>
    <s v="GreenTech"/>
    <x v="4"/>
    <s v="Accessories"/>
    <n v="1"/>
    <n v="1500"/>
    <n v="1500"/>
    <s v="Bank Transfer"/>
    <s v="CORRECT"/>
  </r>
  <r>
    <s v="ORD-1014"/>
    <x v="13"/>
    <x v="1"/>
    <x v="3"/>
    <s v="Delta Stores"/>
    <x v="0"/>
    <s v="Electronics"/>
    <n v="4"/>
    <n v="30000"/>
    <n v="120000"/>
    <s v="Bank Transfer"/>
    <s v="CORRECT"/>
  </r>
  <r>
    <s v="ORD-1015"/>
    <x v="14"/>
    <x v="0"/>
    <x v="0"/>
    <s v="Delta Stores"/>
    <x v="7"/>
    <s v="Office"/>
    <n v="3"/>
    <n v="22000"/>
    <n v="66000"/>
    <s v="Card"/>
    <s v="CORRECT"/>
  </r>
  <r>
    <s v="ORD-1016"/>
    <x v="15"/>
    <x v="3"/>
    <x v="3"/>
    <s v="Delta Stores"/>
    <x v="6"/>
    <s v="Electronics"/>
    <n v="10"/>
    <n v="18000"/>
    <n v="180000"/>
    <s v="M-Pesa"/>
    <s v="CORRECT"/>
  </r>
  <r>
    <s v="ORD-1017"/>
    <x v="16"/>
    <x v="4"/>
    <x v="2"/>
    <m/>
    <x v="7"/>
    <s v="Office"/>
    <n v="2"/>
    <n v="22000"/>
    <n v="44000"/>
    <s v="M-Pesa"/>
    <s v="CORRECT"/>
  </r>
  <r>
    <s v="ORD-1018"/>
    <x v="17"/>
    <x v="4"/>
    <x v="1"/>
    <s v="Horizon Shop"/>
    <x v="6"/>
    <s v="Electronics"/>
    <n v="10"/>
    <n v="18000"/>
    <n v="180000"/>
    <s v="Bank Transfer"/>
    <s v="CORRECT"/>
  </r>
  <r>
    <s v="ORD-1019"/>
    <x v="18"/>
    <x v="4"/>
    <x v="2"/>
    <s v="Nexus Supplies"/>
    <x v="8"/>
    <s v="Accessories"/>
    <n v="9"/>
    <n v="2500"/>
    <n v="22500"/>
    <s v="Card"/>
    <s v="CORRECT"/>
  </r>
  <r>
    <s v="ORD-1020"/>
    <x v="19"/>
    <x v="0"/>
    <x v="1"/>
    <s v="Coast Supplies"/>
    <x v="4"/>
    <s v="Accessories"/>
    <n v="2"/>
    <n v="1500"/>
    <n v="3000"/>
    <s v="Bank Transfer"/>
    <s v="CORRECT"/>
  </r>
  <r>
    <s v="ORD-1021"/>
    <x v="20"/>
    <x v="2"/>
    <x v="2"/>
    <s v="Nexus Supplies"/>
    <x v="8"/>
    <s v="Accessories"/>
    <n v="9"/>
    <n v="2500"/>
    <n v="22500"/>
    <s v="Card"/>
    <s v="CORRECT"/>
  </r>
  <r>
    <s v="ORD-1022"/>
    <x v="0"/>
    <x v="2"/>
    <x v="0"/>
    <s v="GreenTech"/>
    <x v="1"/>
    <s v="Furniture"/>
    <n v="10"/>
    <n v="12000"/>
    <n v="120000"/>
    <s v="M-Pesa"/>
    <s v="CORRECT"/>
  </r>
  <r>
    <s v="ORD-1023"/>
    <x v="21"/>
    <x v="1"/>
    <x v="3"/>
    <s v="Jambo Enterprises"/>
    <x v="1"/>
    <s v="Furniture"/>
    <n v="1"/>
    <n v="12000"/>
    <n v="12000"/>
    <s v="Cash"/>
    <s v="CORRECT"/>
  </r>
  <r>
    <s v="ORD-1024"/>
    <x v="22"/>
    <x v="2"/>
    <x v="2"/>
    <s v="Delta Stores"/>
    <x v="4"/>
    <s v="Accessories"/>
    <n v="5"/>
    <n v="1500"/>
    <n v="7500"/>
    <s v="Cash"/>
    <s v="CORRECT"/>
  </r>
  <r>
    <s v="ORD-1025"/>
    <x v="23"/>
    <x v="1"/>
    <x v="0"/>
    <s v="Coast Supplies"/>
    <x v="7"/>
    <s v="Office"/>
    <n v="2"/>
    <n v="22000"/>
    <n v="44000"/>
    <s v="Bank Transfer"/>
    <s v="CORRECT"/>
  </r>
  <r>
    <s v="ORD-1026"/>
    <x v="24"/>
    <x v="1"/>
    <x v="1"/>
    <s v="Delta Stores"/>
    <x v="3"/>
    <s v="Electronics"/>
    <n v="5"/>
    <n v="25000"/>
    <n v="125000"/>
    <s v="M-Pesa"/>
    <s v="CORRECT"/>
  </r>
  <r>
    <s v="ORD-1027"/>
    <x v="25"/>
    <x v="0"/>
    <x v="1"/>
    <s v="Kilifi Mart"/>
    <x v="6"/>
    <s v="Electronics"/>
    <n v="11"/>
    <n v="18000"/>
    <n v="198000"/>
    <s v="Bank Transfer"/>
    <s v="CORRECT"/>
  </r>
  <r>
    <s v="ORD-1028"/>
    <x v="26"/>
    <x v="4"/>
    <x v="3"/>
    <s v="Alpha Traders"/>
    <x v="2"/>
    <s v="Accessories"/>
    <n v="4"/>
    <n v="4500"/>
    <n v="18000"/>
    <s v="M-Pesa"/>
    <s v="CORRECT"/>
  </r>
  <r>
    <s v="ORD-1029"/>
    <x v="27"/>
    <x v="4"/>
    <x v="0"/>
    <s v="Delta Stores"/>
    <x v="2"/>
    <s v="Accessories"/>
    <n v="1"/>
    <n v="4500"/>
    <n v="4500"/>
    <s v="Cash"/>
    <s v="CORRECT"/>
  </r>
  <r>
    <s v="ORD-1030"/>
    <x v="28"/>
    <x v="1"/>
    <x v="0"/>
    <s v="Eastline Ltd"/>
    <x v="4"/>
    <s v="Accessories"/>
    <n v="2"/>
    <n v="1500"/>
    <n v="3000"/>
    <s v="Bank Transfer"/>
    <s v="CORRECT"/>
  </r>
  <r>
    <s v="ORD-1031"/>
    <x v="29"/>
    <x v="1"/>
    <x v="1"/>
    <s v="Delta Stores"/>
    <x v="1"/>
    <s v="Furniture"/>
    <n v="3"/>
    <n v="12000"/>
    <n v="36000"/>
    <s v="Bank Transfer"/>
    <s v="CORRECT"/>
  </r>
  <r>
    <s v="ORD-1032"/>
    <x v="30"/>
    <x v="4"/>
    <x v="1"/>
    <s v="GreenTech"/>
    <x v="2"/>
    <s v="Accessories"/>
    <n v="2"/>
    <n v="4500"/>
    <n v="9000"/>
    <s v="Bank Transfer"/>
    <s v="CORRECT"/>
  </r>
  <r>
    <s v="ORD-1033"/>
    <x v="31"/>
    <x v="4"/>
    <x v="2"/>
    <s v="Alpha Traders"/>
    <x v="7"/>
    <s v="Office"/>
    <n v="12"/>
    <n v="22000"/>
    <n v="264000"/>
    <s v="Bank Transfer"/>
    <s v="CORRECT"/>
  </r>
  <r>
    <s v="ORD-1034"/>
    <x v="32"/>
    <x v="2"/>
    <x v="0"/>
    <s v="Kilifi Mart"/>
    <x v="0"/>
    <s v="Electronics"/>
    <n v="4"/>
    <n v="30000"/>
    <n v="120000"/>
    <s v="Bank Transfer"/>
    <s v="CORRECT"/>
  </r>
  <r>
    <s v="ORD-1035"/>
    <x v="33"/>
    <x v="0"/>
    <x v="1"/>
    <s v="Delta Stores"/>
    <x v="6"/>
    <s v="Electronics"/>
    <n v="3"/>
    <n v="18000"/>
    <n v="54000"/>
    <s v="Cash"/>
    <s v="CORRECT"/>
  </r>
  <r>
    <s v="ORD-1036"/>
    <x v="34"/>
    <x v="4"/>
    <x v="2"/>
    <s v="Bright Solutions"/>
    <x v="1"/>
    <s v="Furniture"/>
    <n v="2"/>
    <n v="12000"/>
    <n v="24000"/>
    <s v="M-Pesa"/>
    <s v="CORRECT"/>
  </r>
  <r>
    <s v="ORD-1037"/>
    <x v="35"/>
    <x v="3"/>
    <x v="0"/>
    <s v="Horizon Shop"/>
    <x v="6"/>
    <s v="Electronics"/>
    <n v="8"/>
    <n v="18000"/>
    <n v="144000"/>
    <s v="Cash"/>
    <s v="CORRECT"/>
  </r>
  <r>
    <s v="ORD-1038"/>
    <x v="35"/>
    <x v="3"/>
    <x v="3"/>
    <s v="Jambo Enterprises"/>
    <x v="6"/>
    <s v="Electronics"/>
    <n v="1"/>
    <n v="18000"/>
    <n v="18000"/>
    <s v="Card"/>
    <s v="CORRECT"/>
  </r>
  <r>
    <s v="ORD-1039"/>
    <x v="36"/>
    <x v="3"/>
    <x v="0"/>
    <s v="Delta Stores"/>
    <x v="1"/>
    <s v="Furniture"/>
    <n v="11"/>
    <n v="12000"/>
    <n v="132000"/>
    <s v="Card"/>
    <s v="CORRECT"/>
  </r>
  <r>
    <s v="ORD-1040"/>
    <x v="5"/>
    <x v="1"/>
    <x v="2"/>
    <s v="Ocean View Ltd"/>
    <x v="9"/>
    <s v="Electronics"/>
    <n v="10"/>
    <n v="65000"/>
    <n v="650000"/>
    <s v="Card"/>
    <s v="CORRECT"/>
  </r>
  <r>
    <s v="ORD-1041"/>
    <x v="37"/>
    <x v="3"/>
    <x v="0"/>
    <s v="Alpha Traders"/>
    <x v="9"/>
    <s v="Electronics"/>
    <n v="10"/>
    <n v="65000"/>
    <n v="650000"/>
    <s v="Cash"/>
    <s v="CORRECT"/>
  </r>
  <r>
    <s v="ORD-1042"/>
    <x v="38"/>
    <x v="4"/>
    <x v="0"/>
    <s v="Horizon Shop"/>
    <x v="0"/>
    <s v="Electronics"/>
    <n v="10"/>
    <n v="30000"/>
    <n v="300000"/>
    <s v="Cash"/>
    <s v="CORRECT"/>
  </r>
  <r>
    <s v="ORD-1043"/>
    <x v="39"/>
    <x v="1"/>
    <x v="2"/>
    <m/>
    <x v="2"/>
    <s v="Accessories"/>
    <n v="10"/>
    <n v="4500"/>
    <n v="45000"/>
    <s v="Cash"/>
    <s v="CORRECT"/>
  </r>
  <r>
    <s v="ORD-1044"/>
    <x v="40"/>
    <x v="1"/>
    <x v="3"/>
    <s v="Eastline Ltd"/>
    <x v="5"/>
    <s v="Furniture"/>
    <n v="10"/>
    <n v="16000"/>
    <n v="160000"/>
    <s v="M-Pesa"/>
    <s v="CORRECT"/>
  </r>
  <r>
    <s v="ORD-1045"/>
    <x v="41"/>
    <x v="0"/>
    <x v="1"/>
    <s v="Coast Supplies"/>
    <x v="4"/>
    <s v="Accessories"/>
    <n v="4"/>
    <n v="1500"/>
    <n v="6000"/>
    <s v="Card"/>
    <s v="CORRECT"/>
  </r>
  <r>
    <s v="ORD-1046"/>
    <x v="42"/>
    <x v="4"/>
    <x v="1"/>
    <s v="Mavuno Ltd"/>
    <x v="4"/>
    <s v="Accessories"/>
    <n v="2"/>
    <n v="1500"/>
    <n v="3000"/>
    <s v="Cash"/>
    <s v="CORRECT"/>
  </r>
  <r>
    <s v="ORD-1047"/>
    <x v="43"/>
    <x v="1"/>
    <x v="3"/>
    <s v="Coast Supplies"/>
    <x v="1"/>
    <s v="Furniture"/>
    <n v="4"/>
    <n v="12000"/>
    <n v="48000"/>
    <s v="Card"/>
    <s v="CORRECT"/>
  </r>
  <r>
    <s v="ORD-1048"/>
    <x v="44"/>
    <x v="0"/>
    <x v="0"/>
    <s v="Jambo Enterprises"/>
    <x v="2"/>
    <s v="Accessories"/>
    <n v="6"/>
    <n v="4500"/>
    <n v="27000"/>
    <s v="Card"/>
    <s v="CORRECT"/>
  </r>
  <r>
    <s v="ORD-1049"/>
    <x v="45"/>
    <x v="1"/>
    <x v="3"/>
    <s v="Nexus Supplies"/>
    <x v="1"/>
    <s v="Furniture"/>
    <n v="1"/>
    <n v="12000"/>
    <n v="12000"/>
    <s v="Cash"/>
    <s v="CORRECT"/>
  </r>
  <r>
    <s v="ORD-1050"/>
    <x v="46"/>
    <x v="4"/>
    <x v="0"/>
    <s v="Eastline Ltd"/>
    <x v="8"/>
    <s v="Accessories"/>
    <n v="2"/>
    <n v="2500"/>
    <n v="5000"/>
    <s v="Card"/>
    <s v="CORRECT"/>
  </r>
  <r>
    <s v="ORD-1051"/>
    <x v="47"/>
    <x v="0"/>
    <x v="0"/>
    <s v="Nexus Supplies"/>
    <x v="2"/>
    <s v="Accessories"/>
    <n v="12"/>
    <n v="4500"/>
    <n v="54000"/>
    <s v="Card"/>
    <s v="CORRECT"/>
  </r>
  <r>
    <s v="ORD-1052"/>
    <x v="48"/>
    <x v="4"/>
    <x v="2"/>
    <s v="Nexus Supplies"/>
    <x v="7"/>
    <s v="Office"/>
    <n v="5"/>
    <n v="22000"/>
    <n v="110000"/>
    <s v="Bank Transfer"/>
    <s v="CORRECT"/>
  </r>
  <r>
    <s v="ORD-1053"/>
    <x v="49"/>
    <x v="0"/>
    <x v="0"/>
    <s v="Nexus Supplies"/>
    <x v="9"/>
    <s v="Electronics"/>
    <n v="1"/>
    <n v="65000"/>
    <n v="65000"/>
    <s v="Card"/>
    <s v="CORRECT"/>
  </r>
  <r>
    <s v="ORD-1054"/>
    <x v="50"/>
    <x v="3"/>
    <x v="2"/>
    <s v="Bright Solutions"/>
    <x v="7"/>
    <s v="Office"/>
    <n v="9"/>
    <n v="22000"/>
    <n v="198000"/>
    <s v="Cash"/>
    <s v="CORRECT"/>
  </r>
  <r>
    <s v="ORD-1055"/>
    <x v="51"/>
    <x v="0"/>
    <x v="3"/>
    <s v="Mavuno Ltd"/>
    <x v="3"/>
    <s v="Electronics"/>
    <n v="9"/>
    <n v="25000"/>
    <n v="225000"/>
    <s v="M-Pesa"/>
    <s v="CORRECT"/>
  </r>
  <r>
    <s v="ORD-1056"/>
    <x v="52"/>
    <x v="0"/>
    <x v="3"/>
    <s v="Alpha Traders"/>
    <x v="3"/>
    <s v="Electronics"/>
    <n v="1"/>
    <n v="25000"/>
    <n v="25000"/>
    <s v="Card"/>
    <s v="CORRECT"/>
  </r>
  <r>
    <s v="ORD-1057"/>
    <x v="53"/>
    <x v="4"/>
    <x v="3"/>
    <s v="Kilifi Mart"/>
    <x v="2"/>
    <s v="Accessories"/>
    <n v="11"/>
    <n v="4500"/>
    <n v="49500"/>
    <s v="Bank Transfer"/>
    <s v="CORRECT"/>
  </r>
  <r>
    <s v="ORD-1058"/>
    <x v="54"/>
    <x v="2"/>
    <x v="0"/>
    <s v="Horizon Shop"/>
    <x v="3"/>
    <s v="Electronics"/>
    <n v="4"/>
    <n v="25000"/>
    <n v="100000"/>
    <s v="Cash"/>
    <s v="CORRECT"/>
  </r>
  <r>
    <s v="ORD-1059"/>
    <x v="55"/>
    <x v="2"/>
    <x v="3"/>
    <s v="Coast Supplies"/>
    <x v="4"/>
    <s v="Accessories"/>
    <n v="7"/>
    <n v="1500"/>
    <n v="10500"/>
    <s v="Cash"/>
    <s v="CORRECT"/>
  </r>
  <r>
    <s v="ORD-1060"/>
    <x v="56"/>
    <x v="2"/>
    <x v="0"/>
    <s v="Jambo Enterprises"/>
    <x v="9"/>
    <s v="Electronics"/>
    <n v="8"/>
    <n v="65000"/>
    <n v="520000"/>
    <s v="Card"/>
    <s v="CORREC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ORD-1001"/>
    <d v="2026-06-13T00:00:00"/>
    <x v="0"/>
    <s v="Nairobi"/>
    <s v="Delta Stores"/>
    <s v="Tablet"/>
    <s v="Electronics"/>
    <n v="1"/>
    <n v="30000"/>
    <n v="30000"/>
    <s v="M-Pesa"/>
    <s v="CORRECT"/>
  </r>
  <r>
    <s v="ORD-1002"/>
    <d v="2026-01-27T00:00:00"/>
    <x v="1"/>
    <s v="Western"/>
    <s v="Alpha Traders"/>
    <s v="Office Chair"/>
    <s v="Furniture"/>
    <n v="2"/>
    <n v="12000"/>
    <n v="24000"/>
    <s v="Cash"/>
    <s v="CORRECT"/>
  </r>
  <r>
    <s v="ORD-1003"/>
    <d v="2026-01-24T00:00:00"/>
    <x v="1"/>
    <s v="Coast"/>
    <s v="Kilifi Mart"/>
    <s v="Headphones"/>
    <s v="Accessories"/>
    <n v="4"/>
    <n v="4500"/>
    <n v="18000"/>
    <s v="M-Pesa"/>
    <s v="CORRECT"/>
  </r>
  <r>
    <s v="ORD-1004"/>
    <d v="2026-06-16T00:00:00"/>
    <x v="2"/>
    <s v="Western"/>
    <s v="Mavuno Ltd"/>
    <s v="Office Chair"/>
    <s v="Furniture"/>
    <n v="7"/>
    <n v="12000"/>
    <n v="84000"/>
    <s v="Card"/>
    <s v="CORRECT"/>
  </r>
  <r>
    <s v="ORD-1005"/>
    <d v="2026-01-02T00:00:00"/>
    <x v="3"/>
    <s v="Central"/>
    <s v="Eastline Ltd"/>
    <s v="Smartphone"/>
    <s v="Electronics"/>
    <n v="12"/>
    <n v="25000"/>
    <n v="300000"/>
    <s v="M-Pesa"/>
    <s v="CORRECT"/>
  </r>
  <r>
    <s v="ORD-1006"/>
    <d v="2026-02-25T00:00:00"/>
    <x v="4"/>
    <s v="Western"/>
    <s v="Bright Solutions"/>
    <s v="Mouse"/>
    <s v="Accessories"/>
    <n v="2"/>
    <n v="1500"/>
    <n v="3000"/>
    <s v="Card"/>
    <s v="CORRECT"/>
  </r>
  <r>
    <s v="ORD-1007"/>
    <d v="2026-03-30T00:00:00"/>
    <x v="4"/>
    <s v="Western"/>
    <s v="Kilifi Mart"/>
    <s v="Desk"/>
    <s v="Furniture"/>
    <n v="5"/>
    <n v="16000"/>
    <n v="80000"/>
    <s v="Cash"/>
    <s v="CORRECT"/>
  </r>
  <r>
    <s v="ORD-1008"/>
    <d v="2026-04-07T00:00:00"/>
    <x v="0"/>
    <s v="Central"/>
    <s v="Mavuno Ltd"/>
    <s v="Tablet"/>
    <s v="Electronics"/>
    <n v="9"/>
    <n v="30000"/>
    <n v="270000"/>
    <s v="M-Pesa"/>
    <s v="CORRECT"/>
  </r>
  <r>
    <s v="ORD-1009"/>
    <d v="2026-06-30T00:00:00"/>
    <x v="2"/>
    <s v="Central"/>
    <s v="Bright Solutions"/>
    <s v="Tablet"/>
    <s v="Electronics"/>
    <n v="1"/>
    <n v="30000"/>
    <n v="30000"/>
    <s v="M-Pesa"/>
    <s v="CORRECT"/>
  </r>
  <r>
    <s v="ORD-1010"/>
    <d v="2026-01-26T00:00:00"/>
    <x v="3"/>
    <s v="Central"/>
    <s v="Coast Supplies"/>
    <s v="Monitor"/>
    <s v="Electronics"/>
    <n v="5"/>
    <n v="18000"/>
    <n v="90000"/>
    <s v="Card"/>
    <s v="CORRECT"/>
  </r>
  <r>
    <s v="ORD-1011"/>
    <d v="2026-04-01T00:00:00"/>
    <x v="0"/>
    <s v="Coast"/>
    <s v="Mavuno Ltd"/>
    <s v="Headphones"/>
    <s v="Accessories"/>
    <n v="11"/>
    <n v="4500"/>
    <n v="49500"/>
    <s v="M-Pesa"/>
    <s v="CORRECT"/>
  </r>
  <r>
    <s v="ORD-1012"/>
    <d v="2026-05-17T00:00:00"/>
    <x v="3"/>
    <s v="Western"/>
    <s v="Eastline Ltd"/>
    <s v="Headphones"/>
    <s v="Accessories"/>
    <n v="3"/>
    <n v="4500"/>
    <n v="13500"/>
    <s v="M-Pesa"/>
    <s v="CORRECT"/>
  </r>
  <r>
    <s v="ORD-1013"/>
    <d v="2026-06-25T00:00:00"/>
    <x v="2"/>
    <s v="Coast"/>
    <s v="GreenTech"/>
    <s v="Mouse"/>
    <s v="Accessories"/>
    <n v="1"/>
    <n v="1500"/>
    <n v="1500"/>
    <s v="Bank Transfer"/>
    <s v="CORRECT"/>
  </r>
  <r>
    <s v="ORD-1014"/>
    <d v="2026-03-10T00:00:00"/>
    <x v="1"/>
    <s v="Central"/>
    <s v="Delta Stores"/>
    <s v="Tablet"/>
    <s v="Electronics"/>
    <n v="4"/>
    <n v="30000"/>
    <n v="120000"/>
    <s v="Bank Transfer"/>
    <s v="CORRECT"/>
  </r>
  <r>
    <s v="ORD-1015"/>
    <d v="2026-04-12T00:00:00"/>
    <x v="0"/>
    <s v="Nairobi"/>
    <s v="Delta Stores"/>
    <s v="Printer"/>
    <s v="Office"/>
    <n v="3"/>
    <n v="22000"/>
    <n v="66000"/>
    <s v="Card"/>
    <s v="CORRECT"/>
  </r>
  <r>
    <s v="ORD-1016"/>
    <d v="2026-05-30T00:00:00"/>
    <x v="3"/>
    <s v="Central"/>
    <s v="Delta Stores"/>
    <s v="Monitor"/>
    <s v="Electronics"/>
    <n v="10"/>
    <n v="18000"/>
    <n v="180000"/>
    <s v="M-Pesa"/>
    <s v="CORRECT"/>
  </r>
  <r>
    <s v="ORD-1017"/>
    <d v="2026-05-11T00:00:00"/>
    <x v="4"/>
    <s v="Coast"/>
    <m/>
    <s v="Printer"/>
    <s v="Office"/>
    <n v="2"/>
    <n v="22000"/>
    <n v="44000"/>
    <s v="M-Pesa"/>
    <s v="CORRECT"/>
  </r>
  <r>
    <s v="ORD-1018"/>
    <d v="2026-06-24T00:00:00"/>
    <x v="4"/>
    <s v="Western"/>
    <s v="Horizon Shop"/>
    <s v="Monitor"/>
    <s v="Electronics"/>
    <n v="10"/>
    <n v="18000"/>
    <n v="180000"/>
    <s v="Bank Transfer"/>
    <s v="CORRECT"/>
  </r>
  <r>
    <s v="ORD-1019"/>
    <d v="2026-05-16T00:00:00"/>
    <x v="4"/>
    <s v="Coast"/>
    <s v="Nexus Supplies"/>
    <s v="Keyboard"/>
    <s v="Accessories"/>
    <n v="9"/>
    <n v="2500"/>
    <n v="22500"/>
    <s v="Card"/>
    <s v="CORRECT"/>
  </r>
  <r>
    <s v="ORD-1020"/>
    <d v="2026-06-14T00:00:00"/>
    <x v="0"/>
    <s v="Western"/>
    <s v="Coast Supplies"/>
    <s v="Mouse"/>
    <s v="Accessories"/>
    <n v="2"/>
    <n v="1500"/>
    <n v="3000"/>
    <s v="Bank Transfer"/>
    <s v="CORRECT"/>
  </r>
  <r>
    <s v="ORD-1021"/>
    <d v="2026-01-01T00:00:00"/>
    <x v="2"/>
    <s v="Coast"/>
    <s v="Nexus Supplies"/>
    <s v="Keyboard"/>
    <s v="Accessories"/>
    <n v="9"/>
    <n v="2500"/>
    <n v="22500"/>
    <s v="Card"/>
    <s v="CORRECT"/>
  </r>
  <r>
    <s v="ORD-1022"/>
    <d v="2026-06-13T00:00:00"/>
    <x v="2"/>
    <s v="Nairobi"/>
    <s v="GreenTech"/>
    <s v="Office Chair"/>
    <s v="Furniture"/>
    <n v="10"/>
    <n v="12000"/>
    <n v="120000"/>
    <s v="M-Pesa"/>
    <s v="CORRECT"/>
  </r>
  <r>
    <s v="ORD-1023"/>
    <d v="2026-05-19T00:00:00"/>
    <x v="1"/>
    <s v="Central"/>
    <s v="Jambo Enterprises"/>
    <s v="Office Chair"/>
    <s v="Furniture"/>
    <n v="1"/>
    <n v="12000"/>
    <n v="12000"/>
    <s v="Cash"/>
    <s v="CORRECT"/>
  </r>
  <r>
    <s v="ORD-1024"/>
    <d v="2026-01-29T00:00:00"/>
    <x v="2"/>
    <s v="Coast"/>
    <s v="Delta Stores"/>
    <s v="Mouse"/>
    <s v="Accessories"/>
    <n v="5"/>
    <n v="1500"/>
    <n v="7500"/>
    <s v="Cash"/>
    <s v="CORRECT"/>
  </r>
  <r>
    <s v="ORD-1025"/>
    <d v="2026-01-22T00:00:00"/>
    <x v="1"/>
    <s v="Nairobi"/>
    <s v="Coast Supplies"/>
    <s v="Printer"/>
    <s v="Office"/>
    <n v="2"/>
    <n v="22000"/>
    <n v="44000"/>
    <s v="Bank Transfer"/>
    <s v="CORRECT"/>
  </r>
  <r>
    <s v="ORD-1026"/>
    <d v="2026-05-21T00:00:00"/>
    <x v="1"/>
    <s v="Western"/>
    <s v="Delta Stores"/>
    <s v="Smartphone"/>
    <s v="Electronics"/>
    <n v="5"/>
    <n v="25000"/>
    <n v="125000"/>
    <s v="M-Pesa"/>
    <s v="CORRECT"/>
  </r>
  <r>
    <s v="ORD-1027"/>
    <d v="2026-03-21T00:00:00"/>
    <x v="0"/>
    <s v="Western"/>
    <s v="Kilifi Mart"/>
    <s v="Monitor"/>
    <s v="Electronics"/>
    <n v="11"/>
    <n v="18000"/>
    <n v="198000"/>
    <s v="Bank Transfer"/>
    <s v="CORRECT"/>
  </r>
  <r>
    <s v="ORD-1028"/>
    <d v="2026-01-31T00:00:00"/>
    <x v="4"/>
    <s v="Central"/>
    <s v="Alpha Traders"/>
    <s v="Headphones"/>
    <s v="Accessories"/>
    <n v="4"/>
    <n v="4500"/>
    <n v="18000"/>
    <s v="M-Pesa"/>
    <s v="CORRECT"/>
  </r>
  <r>
    <s v="ORD-1029"/>
    <d v="2026-05-31T00:00:00"/>
    <x v="4"/>
    <s v="Nairobi"/>
    <s v="Delta Stores"/>
    <s v="Headphones"/>
    <s v="Accessories"/>
    <n v="1"/>
    <n v="4500"/>
    <n v="4500"/>
    <s v="Cash"/>
    <s v="CORRECT"/>
  </r>
  <r>
    <s v="ORD-1030"/>
    <d v="2026-01-09T00:00:00"/>
    <x v="1"/>
    <s v="Nairobi"/>
    <s v="Eastline Ltd"/>
    <s v="Mouse"/>
    <s v="Accessories"/>
    <n v="2"/>
    <n v="1500"/>
    <n v="3000"/>
    <s v="Bank Transfer"/>
    <s v="CORRECT"/>
  </r>
  <r>
    <s v="ORD-1031"/>
    <d v="2026-02-24T00:00:00"/>
    <x v="1"/>
    <s v="Western"/>
    <s v="Delta Stores"/>
    <s v="Office Chair"/>
    <s v="Furniture"/>
    <n v="3"/>
    <n v="12000"/>
    <n v="36000"/>
    <s v="Bank Transfer"/>
    <s v="CORRECT"/>
  </r>
  <r>
    <s v="ORD-1032"/>
    <d v="2026-04-15T00:00:00"/>
    <x v="4"/>
    <s v="Western"/>
    <s v="GreenTech"/>
    <s v="Headphones"/>
    <s v="Accessories"/>
    <n v="2"/>
    <n v="4500"/>
    <n v="9000"/>
    <s v="Bank Transfer"/>
    <s v="CORRECT"/>
  </r>
  <r>
    <s v="ORD-1033"/>
    <d v="2026-04-16T00:00:00"/>
    <x v="4"/>
    <s v="Coast"/>
    <s v="Alpha Traders"/>
    <s v="Printer"/>
    <s v="Office"/>
    <n v="12"/>
    <n v="22000"/>
    <n v="264000"/>
    <s v="Bank Transfer"/>
    <s v="CORRECT"/>
  </r>
  <r>
    <s v="ORD-1034"/>
    <d v="2026-03-28T00:00:00"/>
    <x v="2"/>
    <s v="Nairobi"/>
    <s v="Kilifi Mart"/>
    <s v="Tablet"/>
    <s v="Electronics"/>
    <n v="4"/>
    <n v="30000"/>
    <n v="120000"/>
    <s v="Bank Transfer"/>
    <s v="CORRECT"/>
  </r>
  <r>
    <s v="ORD-1035"/>
    <d v="2026-02-05T00:00:00"/>
    <x v="0"/>
    <s v="Western"/>
    <s v="Delta Stores"/>
    <s v="Monitor"/>
    <s v="Electronics"/>
    <n v="3"/>
    <n v="18000"/>
    <n v="54000"/>
    <s v="Cash"/>
    <s v="CORRECT"/>
  </r>
  <r>
    <s v="ORD-1036"/>
    <d v="2026-04-24T00:00:00"/>
    <x v="4"/>
    <s v="Coast"/>
    <s v="Bright Solutions"/>
    <s v="Office Chair"/>
    <s v="Furniture"/>
    <n v="2"/>
    <n v="12000"/>
    <n v="24000"/>
    <s v="M-Pesa"/>
    <s v="CORRECT"/>
  </r>
  <r>
    <s v="ORD-1037"/>
    <d v="2026-02-12T00:00:00"/>
    <x v="3"/>
    <s v="Nairobi"/>
    <s v="Horizon Shop"/>
    <s v="Monitor"/>
    <s v="Electronics"/>
    <n v="8"/>
    <n v="18000"/>
    <n v="144000"/>
    <s v="Cash"/>
    <s v="CORRECT"/>
  </r>
  <r>
    <s v="ORD-1038"/>
    <d v="2026-02-12T00:00:00"/>
    <x v="3"/>
    <s v="Central"/>
    <s v="Jambo Enterprises"/>
    <s v="Monitor"/>
    <s v="Electronics"/>
    <n v="1"/>
    <n v="18000"/>
    <n v="18000"/>
    <s v="Card"/>
    <s v="CORRECT"/>
  </r>
  <r>
    <s v="ORD-1039"/>
    <d v="2026-04-19T00:00:00"/>
    <x v="3"/>
    <s v="Nairobi"/>
    <s v="Delta Stores"/>
    <s v="Office Chair"/>
    <s v="Furniture"/>
    <n v="11"/>
    <n v="12000"/>
    <n v="132000"/>
    <s v="Card"/>
    <s v="CORRECT"/>
  </r>
  <r>
    <s v="ORD-1040"/>
    <d v="2026-02-25T00:00:00"/>
    <x v="1"/>
    <s v="Coast"/>
    <s v="Ocean View Ltd"/>
    <s v="Laptop"/>
    <s v="Electronics"/>
    <n v="10"/>
    <n v="65000"/>
    <n v="650000"/>
    <s v="Card"/>
    <s v="CORRECT"/>
  </r>
  <r>
    <s v="ORD-1041"/>
    <d v="2026-01-15T00:00:00"/>
    <x v="3"/>
    <s v="Nairobi"/>
    <s v="Alpha Traders"/>
    <s v="Laptop"/>
    <s v="Electronics"/>
    <n v="10"/>
    <n v="65000"/>
    <n v="650000"/>
    <s v="Cash"/>
    <s v="CORRECT"/>
  </r>
  <r>
    <s v="ORD-1042"/>
    <d v="2026-02-17T00:00:00"/>
    <x v="4"/>
    <s v="Nairobi"/>
    <s v="Horizon Shop"/>
    <s v="Tablet"/>
    <s v="Electronics"/>
    <n v="10"/>
    <n v="30000"/>
    <n v="300000"/>
    <s v="Cash"/>
    <s v="CORRECT"/>
  </r>
  <r>
    <s v="ORD-1043"/>
    <d v="2026-05-26T00:00:00"/>
    <x v="1"/>
    <s v="Coast"/>
    <m/>
    <s v="Headphones"/>
    <s v="Accessories"/>
    <n v="10"/>
    <n v="4500"/>
    <n v="45000"/>
    <s v="Cash"/>
    <s v="CORRECT"/>
  </r>
  <r>
    <s v="ORD-1044"/>
    <d v="2026-04-18T00:00:00"/>
    <x v="1"/>
    <s v="Central"/>
    <s v="Eastline Ltd"/>
    <s v="Desk"/>
    <s v="Furniture"/>
    <n v="10"/>
    <n v="16000"/>
    <n v="160000"/>
    <s v="M-Pesa"/>
    <s v="CORRECT"/>
  </r>
  <r>
    <s v="ORD-1045"/>
    <d v="2026-06-21T00:00:00"/>
    <x v="0"/>
    <s v="Western"/>
    <s v="Coast Supplies"/>
    <s v="Mouse"/>
    <s v="Accessories"/>
    <n v="4"/>
    <n v="1500"/>
    <n v="6000"/>
    <s v="Card"/>
    <s v="CORRECT"/>
  </r>
  <r>
    <s v="ORD-1046"/>
    <d v="2026-04-28T00:00:00"/>
    <x v="4"/>
    <s v="Western"/>
    <s v="Mavuno Ltd"/>
    <s v="Mouse"/>
    <s v="Accessories"/>
    <n v="2"/>
    <n v="1500"/>
    <n v="3000"/>
    <s v="Cash"/>
    <s v="CORRECT"/>
  </r>
  <r>
    <s v="ORD-1047"/>
    <d v="2026-01-19T00:00:00"/>
    <x v="1"/>
    <s v="Central"/>
    <s v="Coast Supplies"/>
    <s v="Office Chair"/>
    <s v="Furniture"/>
    <n v="4"/>
    <n v="12000"/>
    <n v="48000"/>
    <s v="Card"/>
    <s v="CORRECT"/>
  </r>
  <r>
    <s v="ORD-1048"/>
    <d v="2026-01-18T00:00:00"/>
    <x v="0"/>
    <s v="Nairobi"/>
    <s v="Jambo Enterprises"/>
    <s v="Headphones"/>
    <s v="Accessories"/>
    <n v="6"/>
    <n v="4500"/>
    <n v="27000"/>
    <s v="Card"/>
    <s v="CORRECT"/>
  </r>
  <r>
    <s v="ORD-1049"/>
    <d v="2026-06-06T00:00:00"/>
    <x v="1"/>
    <s v="Central"/>
    <s v="Nexus Supplies"/>
    <s v="Office Chair"/>
    <s v="Furniture"/>
    <n v="1"/>
    <n v="12000"/>
    <n v="12000"/>
    <s v="Cash"/>
    <s v="CORRECT"/>
  </r>
  <r>
    <s v="ORD-1050"/>
    <d v="2026-02-04T00:00:00"/>
    <x v="4"/>
    <s v="Nairobi"/>
    <s v="Eastline Ltd"/>
    <s v="Keyboard"/>
    <s v="Accessories"/>
    <n v="2"/>
    <n v="2500"/>
    <n v="5000"/>
    <s v="Card"/>
    <s v="CORRECT"/>
  </r>
  <r>
    <s v="ORD-1051"/>
    <d v="2026-06-04T00:00:00"/>
    <x v="0"/>
    <s v="Nairobi"/>
    <s v="Nexus Supplies"/>
    <s v="Headphones"/>
    <s v="Accessories"/>
    <n v="12"/>
    <n v="4500"/>
    <n v="54000"/>
    <s v="Card"/>
    <s v="CORRECT"/>
  </r>
  <r>
    <s v="ORD-1052"/>
    <d v="2026-05-10T00:00:00"/>
    <x v="4"/>
    <s v="Coast"/>
    <s v="Nexus Supplies"/>
    <s v="Printer"/>
    <s v="Office"/>
    <n v="5"/>
    <n v="22000"/>
    <n v="110000"/>
    <s v="Bank Transfer"/>
    <s v="CORRECT"/>
  </r>
  <r>
    <s v="ORD-1053"/>
    <d v="2026-03-12T00:00:00"/>
    <x v="0"/>
    <s v="Nairobi"/>
    <s v="Nexus Supplies"/>
    <s v="Laptop"/>
    <s v="Electronics"/>
    <n v="1"/>
    <n v="65000"/>
    <n v="65000"/>
    <s v="Card"/>
    <s v="CORRECT"/>
  </r>
  <r>
    <s v="ORD-1054"/>
    <d v="2026-02-11T00:00:00"/>
    <x v="3"/>
    <s v="Coast"/>
    <s v="Bright Solutions"/>
    <s v="Printer"/>
    <s v="Office"/>
    <n v="9"/>
    <n v="22000"/>
    <n v="198000"/>
    <s v="Cash"/>
    <s v="CORRECT"/>
  </r>
  <r>
    <s v="ORD-1055"/>
    <d v="2026-06-26T00:00:00"/>
    <x v="0"/>
    <s v="Central"/>
    <s v="Mavuno Ltd"/>
    <s v="Smartphone"/>
    <s v="Electronics"/>
    <n v="9"/>
    <n v="25000"/>
    <n v="225000"/>
    <s v="M-Pesa"/>
    <s v="CORRECT"/>
  </r>
  <r>
    <s v="ORD-1056"/>
    <d v="2026-04-21T00:00:00"/>
    <x v="0"/>
    <s v="Central"/>
    <s v="Alpha Traders"/>
    <s v="Smartphone"/>
    <s v="Electronics"/>
    <n v="1"/>
    <n v="25000"/>
    <n v="25000"/>
    <s v="Card"/>
    <s v="CORRECT"/>
  </r>
  <r>
    <s v="ORD-1057"/>
    <d v="2026-02-23T00:00:00"/>
    <x v="4"/>
    <s v="Central"/>
    <s v="Kilifi Mart"/>
    <s v="Headphones"/>
    <s v="Accessories"/>
    <n v="11"/>
    <n v="4500"/>
    <n v="49500"/>
    <s v="Bank Transfer"/>
    <s v="CORRECT"/>
  </r>
  <r>
    <s v="ORD-1058"/>
    <d v="2026-06-08T00:00:00"/>
    <x v="2"/>
    <s v="Nairobi"/>
    <s v="Horizon Shop"/>
    <s v="Smartphone"/>
    <s v="Electronics"/>
    <n v="4"/>
    <n v="25000"/>
    <n v="100000"/>
    <s v="Cash"/>
    <s v="CORRECT"/>
  </r>
  <r>
    <s v="ORD-1059"/>
    <d v="2026-02-15T00:00:00"/>
    <x v="2"/>
    <s v="Central"/>
    <s v="Coast Supplies"/>
    <s v="Mouse"/>
    <s v="Accessories"/>
    <n v="7"/>
    <n v="1500"/>
    <n v="10500"/>
    <s v="Cash"/>
    <s v="CORRECT"/>
  </r>
  <r>
    <s v="ORD-1060"/>
    <d v="2026-04-08T00:00:00"/>
    <x v="2"/>
    <s v="Nairobi"/>
    <s v="Jambo Enterprises"/>
    <s v="Laptop"/>
    <s v="Electronics"/>
    <n v="8"/>
    <n v="65000"/>
    <n v="520000"/>
    <s v="Card"/>
    <s v="CORRECT"/>
  </r>
  <r>
    <m/>
    <m/>
    <x v="5"/>
    <m/>
    <m/>
    <m/>
    <m/>
    <m/>
    <s v="total revenue"/>
    <n v="6227500"/>
    <m/>
    <m/>
  </r>
  <r>
    <n v="60"/>
    <m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4A346-2850-4CE6-A229-A3D1A80B3E2B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14">
    <pivotField showAll="0"/>
    <pivotField numFmtId="164" showAll="0">
      <items count="58">
        <item x="20"/>
        <item x="4"/>
        <item x="28"/>
        <item x="37"/>
        <item x="44"/>
        <item x="43"/>
        <item x="23"/>
        <item x="2"/>
        <item x="9"/>
        <item x="1"/>
        <item x="22"/>
        <item x="26"/>
        <item x="46"/>
        <item x="33"/>
        <item x="50"/>
        <item x="35"/>
        <item x="55"/>
        <item x="38"/>
        <item x="53"/>
        <item x="29"/>
        <item x="5"/>
        <item x="13"/>
        <item x="49"/>
        <item x="25"/>
        <item x="32"/>
        <item x="6"/>
        <item x="10"/>
        <item x="7"/>
        <item x="56"/>
        <item x="14"/>
        <item x="30"/>
        <item x="31"/>
        <item x="40"/>
        <item x="36"/>
        <item x="52"/>
        <item x="34"/>
        <item x="42"/>
        <item x="48"/>
        <item x="16"/>
        <item x="18"/>
        <item x="11"/>
        <item x="21"/>
        <item x="24"/>
        <item x="39"/>
        <item x="15"/>
        <item x="27"/>
        <item x="47"/>
        <item x="45"/>
        <item x="54"/>
        <item x="0"/>
        <item x="19"/>
        <item x="3"/>
        <item x="41"/>
        <item x="17"/>
        <item x="12"/>
        <item x="51"/>
        <item x="8"/>
        <item t="default"/>
      </items>
    </pivotField>
    <pivotField axis="axisCol" showAll="0">
      <items count="6">
        <item x="1"/>
        <item x="4"/>
        <item x="3"/>
        <item x="2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E4A03-18E9-4AA5-8A8B-F8249F3D1B3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4">
    <pivotField showAll="0"/>
    <pivotField numFmtId="164" showAll="0">
      <items count="58">
        <item x="20"/>
        <item x="4"/>
        <item x="28"/>
        <item x="37"/>
        <item x="44"/>
        <item x="43"/>
        <item x="23"/>
        <item x="2"/>
        <item x="9"/>
        <item x="1"/>
        <item x="22"/>
        <item x="26"/>
        <item x="46"/>
        <item x="33"/>
        <item x="50"/>
        <item x="35"/>
        <item x="55"/>
        <item x="38"/>
        <item x="53"/>
        <item x="29"/>
        <item x="5"/>
        <item x="13"/>
        <item x="49"/>
        <item x="25"/>
        <item x="32"/>
        <item x="6"/>
        <item x="10"/>
        <item x="7"/>
        <item x="56"/>
        <item x="14"/>
        <item x="30"/>
        <item x="31"/>
        <item x="40"/>
        <item x="36"/>
        <item x="52"/>
        <item x="34"/>
        <item x="42"/>
        <item x="48"/>
        <item x="16"/>
        <item x="18"/>
        <item x="11"/>
        <item x="21"/>
        <item x="24"/>
        <item x="39"/>
        <item x="15"/>
        <item x="27"/>
        <item x="47"/>
        <item x="45"/>
        <item x="54"/>
        <item x="0"/>
        <item x="19"/>
        <item x="3"/>
        <item x="41"/>
        <item x="17"/>
        <item x="12"/>
        <item x="51"/>
        <item x="8"/>
        <item t="default"/>
      </items>
    </pivotField>
    <pivotField showAll="0"/>
    <pivotField showAll="0"/>
    <pivotField showAll="0"/>
    <pivotField axis="axisRow" showAll="0">
      <items count="11">
        <item x="5"/>
        <item x="2"/>
        <item x="8"/>
        <item x="9"/>
        <item x="6"/>
        <item x="4"/>
        <item x="1"/>
        <item x="7"/>
        <item x="3"/>
        <item x="0"/>
        <item t="default"/>
      </items>
    </pivotField>
    <pivotField showAll="0"/>
    <pivotField showAll="0"/>
    <pivotField numFmtId="3" showAll="0"/>
    <pivotField dataField="1" numFmtId="3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9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3DE0D-96CB-499B-B973-F866584F301E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">
  <location ref="A3:B8" firstHeaderRow="1" firstDataRow="1" firstDataCol="1"/>
  <pivotFields count="14">
    <pivotField showAll="0"/>
    <pivotField numFmtId="164" showAll="0">
      <items count="58">
        <item x="20"/>
        <item x="4"/>
        <item x="28"/>
        <item x="37"/>
        <item x="44"/>
        <item x="43"/>
        <item x="23"/>
        <item x="2"/>
        <item x="9"/>
        <item x="1"/>
        <item x="22"/>
        <item x="26"/>
        <item x="46"/>
        <item x="33"/>
        <item x="50"/>
        <item x="35"/>
        <item x="55"/>
        <item x="38"/>
        <item x="53"/>
        <item x="29"/>
        <item x="5"/>
        <item x="13"/>
        <item x="49"/>
        <item x="25"/>
        <item x="32"/>
        <item x="6"/>
        <item x="10"/>
        <item x="7"/>
        <item x="56"/>
        <item x="14"/>
        <item x="30"/>
        <item x="31"/>
        <item x="40"/>
        <item x="36"/>
        <item x="52"/>
        <item x="34"/>
        <item x="42"/>
        <item x="48"/>
        <item x="16"/>
        <item x="18"/>
        <item x="11"/>
        <item x="21"/>
        <item x="24"/>
        <item x="39"/>
        <item x="15"/>
        <item x="27"/>
        <item x="47"/>
        <item x="45"/>
        <item x="54"/>
        <item x="0"/>
        <item x="19"/>
        <item x="3"/>
        <item x="41"/>
        <item x="17"/>
        <item x="12"/>
        <item x="51"/>
        <item x="8"/>
        <item t="default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9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C8606-4DBB-46A5-B401-7EC8C45E7F4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showAll="0"/>
    <pivotField axis="axisRow" showAll="0">
      <items count="7">
        <item x="1"/>
        <item x="4"/>
        <item x="3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23F0-6BA6-462B-B9BB-0FA4DD3749BA}">
  <dimension ref="A3:G9"/>
  <sheetViews>
    <sheetView workbookViewId="0">
      <selection activeCell="B15" sqref="B15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6" width="8.90625" bestFit="1" customWidth="1"/>
    <col min="7" max="7" width="10.7265625" bestFit="1" customWidth="1"/>
  </cols>
  <sheetData>
    <row r="3" spans="1:7" x14ac:dyDescent="0.35">
      <c r="A3" s="10" t="s">
        <v>172</v>
      </c>
      <c r="B3" s="10" t="s">
        <v>173</v>
      </c>
    </row>
    <row r="4" spans="1:7" x14ac:dyDescent="0.35">
      <c r="A4" s="10" t="s">
        <v>170</v>
      </c>
      <c r="B4" t="s">
        <v>19</v>
      </c>
      <c r="C4" t="s">
        <v>40</v>
      </c>
      <c r="D4" t="s">
        <v>35</v>
      </c>
      <c r="E4" t="s">
        <v>31</v>
      </c>
      <c r="F4" t="s">
        <v>12</v>
      </c>
      <c r="G4" t="s">
        <v>171</v>
      </c>
    </row>
    <row r="5" spans="1:7" x14ac:dyDescent="0.35">
      <c r="A5" s="11" t="s">
        <v>36</v>
      </c>
      <c r="B5" s="3">
        <v>352000</v>
      </c>
      <c r="C5" s="3">
        <v>67500</v>
      </c>
      <c r="D5" s="3">
        <v>588000</v>
      </c>
      <c r="E5" s="3">
        <v>40500</v>
      </c>
      <c r="F5" s="3">
        <v>520000</v>
      </c>
      <c r="G5" s="3">
        <v>1568000</v>
      </c>
    </row>
    <row r="6" spans="1:7" x14ac:dyDescent="0.35">
      <c r="A6" s="11" t="s">
        <v>26</v>
      </c>
      <c r="B6" s="3">
        <v>713000</v>
      </c>
      <c r="C6" s="3">
        <v>464500</v>
      </c>
      <c r="D6" s="3">
        <v>198000</v>
      </c>
      <c r="E6" s="3">
        <v>31500</v>
      </c>
      <c r="F6" s="3">
        <v>49500</v>
      </c>
      <c r="G6" s="3">
        <v>1456500</v>
      </c>
    </row>
    <row r="7" spans="1:7" x14ac:dyDescent="0.35">
      <c r="A7" s="11" t="s">
        <v>13</v>
      </c>
      <c r="B7" s="3">
        <v>47000</v>
      </c>
      <c r="C7" s="3">
        <v>309500</v>
      </c>
      <c r="D7" s="3">
        <v>926000</v>
      </c>
      <c r="E7" s="3">
        <v>860000</v>
      </c>
      <c r="F7" s="3">
        <v>242000</v>
      </c>
      <c r="G7" s="3">
        <v>2384500</v>
      </c>
    </row>
    <row r="8" spans="1:7" x14ac:dyDescent="0.35">
      <c r="A8" s="11" t="s">
        <v>20</v>
      </c>
      <c r="B8" s="3">
        <v>185000</v>
      </c>
      <c r="C8" s="3">
        <v>275000</v>
      </c>
      <c r="D8" s="3">
        <v>13500</v>
      </c>
      <c r="E8" s="3">
        <v>84000</v>
      </c>
      <c r="F8" s="3">
        <v>261000</v>
      </c>
      <c r="G8" s="3">
        <v>818500</v>
      </c>
    </row>
    <row r="9" spans="1:7" x14ac:dyDescent="0.35">
      <c r="A9" s="11" t="s">
        <v>171</v>
      </c>
      <c r="B9" s="3">
        <v>1297000</v>
      </c>
      <c r="C9" s="3">
        <v>1116500</v>
      </c>
      <c r="D9" s="3">
        <v>1725500</v>
      </c>
      <c r="E9" s="3">
        <v>1016000</v>
      </c>
      <c r="F9" s="3">
        <v>1072500</v>
      </c>
      <c r="G9" s="3">
        <v>6227500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D0F3-9F41-4F4D-A350-22AA1BDF13FC}">
  <dimension ref="A3:B14"/>
  <sheetViews>
    <sheetView workbookViewId="0">
      <selection activeCell="O13" sqref="O13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170</v>
      </c>
      <c r="B3" t="s">
        <v>172</v>
      </c>
    </row>
    <row r="4" spans="1:2" x14ac:dyDescent="0.35">
      <c r="A4" s="11" t="s">
        <v>44</v>
      </c>
      <c r="B4" s="3">
        <v>240000</v>
      </c>
    </row>
    <row r="5" spans="1:2" x14ac:dyDescent="0.35">
      <c r="A5" s="11" t="s">
        <v>28</v>
      </c>
      <c r="B5" s="3">
        <v>288000</v>
      </c>
    </row>
    <row r="6" spans="1:2" x14ac:dyDescent="0.35">
      <c r="A6" s="11" t="s">
        <v>65</v>
      </c>
      <c r="B6" s="3">
        <v>50000</v>
      </c>
    </row>
    <row r="7" spans="1:2" x14ac:dyDescent="0.35">
      <c r="A7" s="11" t="s">
        <v>90</v>
      </c>
      <c r="B7" s="3">
        <v>1885000</v>
      </c>
    </row>
    <row r="8" spans="1:2" x14ac:dyDescent="0.35">
      <c r="A8" s="11" t="s">
        <v>49</v>
      </c>
      <c r="B8" s="3">
        <v>864000</v>
      </c>
    </row>
    <row r="9" spans="1:2" x14ac:dyDescent="0.35">
      <c r="A9" s="11" t="s">
        <v>42</v>
      </c>
      <c r="B9" s="3">
        <v>37500</v>
      </c>
    </row>
    <row r="10" spans="1:2" x14ac:dyDescent="0.35">
      <c r="A10" s="11" t="s">
        <v>22</v>
      </c>
      <c r="B10" s="3">
        <v>492000</v>
      </c>
    </row>
    <row r="11" spans="1:2" x14ac:dyDescent="0.35">
      <c r="A11" s="11" t="s">
        <v>57</v>
      </c>
      <c r="B11" s="3">
        <v>726000</v>
      </c>
    </row>
    <row r="12" spans="1:2" x14ac:dyDescent="0.35">
      <c r="A12" s="11" t="s">
        <v>38</v>
      </c>
      <c r="B12" s="3">
        <v>775000</v>
      </c>
    </row>
    <row r="13" spans="1:2" x14ac:dyDescent="0.35">
      <c r="A13" s="11" t="s">
        <v>15</v>
      </c>
      <c r="B13" s="3">
        <v>870000</v>
      </c>
    </row>
    <row r="14" spans="1:2" x14ac:dyDescent="0.35">
      <c r="A14" s="11" t="s">
        <v>171</v>
      </c>
      <c r="B14" s="3">
        <v>6227500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8F18-C9E3-49C6-BB9D-06D416BB8C0B}">
  <dimension ref="A3:B8"/>
  <sheetViews>
    <sheetView workbookViewId="0">
      <selection activeCell="A4" sqref="A4:B7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174</v>
      </c>
      <c r="B3" t="s">
        <v>172</v>
      </c>
    </row>
    <row r="4" spans="1:2" x14ac:dyDescent="0.35">
      <c r="A4" s="11" t="s">
        <v>36</v>
      </c>
      <c r="B4" s="3">
        <v>1568000</v>
      </c>
    </row>
    <row r="5" spans="1:2" x14ac:dyDescent="0.35">
      <c r="A5" s="11" t="s">
        <v>26</v>
      </c>
      <c r="B5" s="3">
        <v>1456500</v>
      </c>
    </row>
    <row r="6" spans="1:2" x14ac:dyDescent="0.35">
      <c r="A6" s="11" t="s">
        <v>13</v>
      </c>
      <c r="B6" s="3">
        <v>2384500</v>
      </c>
    </row>
    <row r="7" spans="1:2" x14ac:dyDescent="0.35">
      <c r="A7" s="11" t="s">
        <v>20</v>
      </c>
      <c r="B7" s="3">
        <v>818500</v>
      </c>
    </row>
    <row r="8" spans="1:2" x14ac:dyDescent="0.35">
      <c r="A8" s="11" t="s">
        <v>171</v>
      </c>
      <c r="B8" s="3">
        <v>6227500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F03A-BDE6-49D1-80B7-3CBA5FBEF6A6}">
  <dimension ref="A3:B9"/>
  <sheetViews>
    <sheetView workbookViewId="0">
      <selection activeCell="A4" sqref="A4:B8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170</v>
      </c>
      <c r="B3" t="s">
        <v>172</v>
      </c>
    </row>
    <row r="4" spans="1:2" x14ac:dyDescent="0.35">
      <c r="A4" s="11" t="s">
        <v>19</v>
      </c>
      <c r="B4" s="22">
        <v>1297000</v>
      </c>
    </row>
    <row r="5" spans="1:2" x14ac:dyDescent="0.35">
      <c r="A5" s="11" t="s">
        <v>40</v>
      </c>
      <c r="B5" s="22">
        <v>1116500</v>
      </c>
    </row>
    <row r="6" spans="1:2" x14ac:dyDescent="0.35">
      <c r="A6" s="11" t="s">
        <v>35</v>
      </c>
      <c r="B6" s="22">
        <v>1725500</v>
      </c>
    </row>
    <row r="7" spans="1:2" x14ac:dyDescent="0.35">
      <c r="A7" s="11" t="s">
        <v>31</v>
      </c>
      <c r="B7" s="22">
        <v>1016000</v>
      </c>
    </row>
    <row r="8" spans="1:2" x14ac:dyDescent="0.35">
      <c r="A8" s="11" t="s">
        <v>12</v>
      </c>
      <c r="B8" s="22">
        <v>1072500</v>
      </c>
    </row>
    <row r="9" spans="1:2" x14ac:dyDescent="0.35">
      <c r="A9" s="11" t="s">
        <v>171</v>
      </c>
      <c r="B9" s="22">
        <v>6227500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workbookViewId="0">
      <pane ySplit="1" topLeftCell="A54" activePane="bottomLeft" state="frozen"/>
      <selection pane="bottomLeft" activeCell="C57" sqref="C57"/>
    </sheetView>
  </sheetViews>
  <sheetFormatPr defaultRowHeight="14.5" x14ac:dyDescent="0.35"/>
  <cols>
    <col min="1" max="2" width="12" customWidth="1"/>
    <col min="3" max="3" width="13" customWidth="1"/>
    <col min="4" max="4" width="12" customWidth="1"/>
    <col min="5" max="5" width="19" customWidth="1"/>
    <col min="6" max="6" width="14" customWidth="1"/>
    <col min="7" max="7" width="13" customWidth="1"/>
    <col min="8" max="10" width="12" customWidth="1"/>
    <col min="11" max="11" width="16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155</v>
      </c>
      <c r="O1" s="9" t="s">
        <v>156</v>
      </c>
      <c r="P1" s="9" t="s">
        <v>161</v>
      </c>
      <c r="Q1" s="9"/>
      <c r="R1" s="9"/>
    </row>
    <row r="2" spans="1:18" x14ac:dyDescent="0.35">
      <c r="A2" t="s">
        <v>11</v>
      </c>
      <c r="B2" s="2">
        <v>46186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s="3">
        <v>30000</v>
      </c>
      <c r="J2" s="3">
        <v>30000</v>
      </c>
      <c r="K2" t="s">
        <v>17</v>
      </c>
      <c r="L2" t="str">
        <f>IF(J2=I2*H2,"CORRECT","CHECK")</f>
        <v>CORRECT</v>
      </c>
      <c r="O2" t="s">
        <v>159</v>
      </c>
      <c r="P2">
        <f>SUMIF(C:C,O2,J:J)</f>
        <v>1725500</v>
      </c>
    </row>
    <row r="3" spans="1:18" x14ac:dyDescent="0.35">
      <c r="A3" t="s">
        <v>18</v>
      </c>
      <c r="B3" s="2">
        <v>46049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</v>
      </c>
      <c r="I3" s="3">
        <v>12000</v>
      </c>
      <c r="J3" s="3">
        <v>24000</v>
      </c>
      <c r="K3" t="s">
        <v>24</v>
      </c>
      <c r="L3" t="str">
        <f t="shared" ref="L3:L61" si="0">IF(J3=I3*H3,"CORRECT","CHECK")</f>
        <v>CORRECT</v>
      </c>
      <c r="N3" s="3">
        <f>AVERAGE(J1:J58)</f>
        <v>98192.982456140351</v>
      </c>
      <c r="O3" t="s">
        <v>160</v>
      </c>
      <c r="P3">
        <f>SUMIF(C:C,O3,J:J)</f>
        <v>1297000</v>
      </c>
    </row>
    <row r="4" spans="1:18" x14ac:dyDescent="0.35">
      <c r="A4" t="s">
        <v>25</v>
      </c>
      <c r="B4" s="2">
        <v>46046</v>
      </c>
      <c r="C4" t="s">
        <v>19</v>
      </c>
      <c r="D4" t="s">
        <v>26</v>
      </c>
      <c r="E4" t="s">
        <v>27</v>
      </c>
      <c r="F4" t="s">
        <v>28</v>
      </c>
      <c r="G4" t="s">
        <v>29</v>
      </c>
      <c r="H4">
        <v>4</v>
      </c>
      <c r="I4" s="3">
        <v>4500</v>
      </c>
      <c r="J4" s="3">
        <v>18000</v>
      </c>
      <c r="K4" t="s">
        <v>17</v>
      </c>
      <c r="L4" t="str">
        <f t="shared" si="0"/>
        <v>CORRECT</v>
      </c>
      <c r="N4" s="3">
        <f>SUM(J4:J63)</f>
        <v>12401000</v>
      </c>
      <c r="O4" t="s">
        <v>157</v>
      </c>
      <c r="P4">
        <f>SUMIF(C:C,O4,J:J)</f>
        <v>1116500</v>
      </c>
    </row>
    <row r="5" spans="1:18" x14ac:dyDescent="0.35">
      <c r="A5" t="s">
        <v>30</v>
      </c>
      <c r="B5" s="2">
        <v>46189</v>
      </c>
      <c r="C5" t="s">
        <v>31</v>
      </c>
      <c r="D5" t="s">
        <v>20</v>
      </c>
      <c r="E5" t="s">
        <v>32</v>
      </c>
      <c r="F5" t="s">
        <v>22</v>
      </c>
      <c r="G5" t="s">
        <v>23</v>
      </c>
      <c r="H5">
        <v>7</v>
      </c>
      <c r="I5" s="3">
        <v>12000</v>
      </c>
      <c r="J5" s="3">
        <v>84000</v>
      </c>
      <c r="K5" t="s">
        <v>33</v>
      </c>
      <c r="L5" t="str">
        <f t="shared" si="0"/>
        <v>CORRECT</v>
      </c>
      <c r="N5">
        <f>SUM(H3:H62)</f>
        <v>334</v>
      </c>
      <c r="O5" t="s">
        <v>106</v>
      </c>
      <c r="P5">
        <f>SUMIF(C:C,O5,J:J)</f>
        <v>1072500</v>
      </c>
    </row>
    <row r="6" spans="1:18" x14ac:dyDescent="0.35">
      <c r="A6" t="s">
        <v>34</v>
      </c>
      <c r="B6" s="2">
        <v>46024</v>
      </c>
      <c r="C6" t="s">
        <v>35</v>
      </c>
      <c r="D6" t="s">
        <v>36</v>
      </c>
      <c r="E6" t="s">
        <v>37</v>
      </c>
      <c r="F6" t="s">
        <v>38</v>
      </c>
      <c r="G6" t="s">
        <v>16</v>
      </c>
      <c r="H6">
        <v>12</v>
      </c>
      <c r="I6" s="3">
        <v>25000</v>
      </c>
      <c r="J6" s="3">
        <v>300000</v>
      </c>
      <c r="K6" t="s">
        <v>17</v>
      </c>
      <c r="L6" t="str">
        <f t="shared" si="0"/>
        <v>CORRECT</v>
      </c>
      <c r="O6" t="s">
        <v>158</v>
      </c>
      <c r="P6">
        <f>SUMIF(C:C,O6,J:J)</f>
        <v>1016000</v>
      </c>
    </row>
    <row r="7" spans="1:18" x14ac:dyDescent="0.35">
      <c r="A7" t="s">
        <v>39</v>
      </c>
      <c r="B7" s="2">
        <v>46078</v>
      </c>
      <c r="C7" t="s">
        <v>40</v>
      </c>
      <c r="D7" t="s">
        <v>20</v>
      </c>
      <c r="E7" t="s">
        <v>41</v>
      </c>
      <c r="F7" t="s">
        <v>42</v>
      </c>
      <c r="G7" t="s">
        <v>29</v>
      </c>
      <c r="H7">
        <v>2</v>
      </c>
      <c r="I7" s="3">
        <v>1500</v>
      </c>
      <c r="J7" s="3">
        <v>3000</v>
      </c>
      <c r="K7" t="s">
        <v>33</v>
      </c>
      <c r="L7" t="str">
        <f t="shared" si="0"/>
        <v>CORRECT</v>
      </c>
    </row>
    <row r="8" spans="1:18" x14ac:dyDescent="0.35">
      <c r="A8" t="s">
        <v>43</v>
      </c>
      <c r="B8" s="2">
        <v>46111</v>
      </c>
      <c r="C8" t="s">
        <v>40</v>
      </c>
      <c r="D8" t="s">
        <v>20</v>
      </c>
      <c r="E8" t="s">
        <v>27</v>
      </c>
      <c r="F8" t="s">
        <v>44</v>
      </c>
      <c r="G8" t="s">
        <v>23</v>
      </c>
      <c r="H8">
        <v>5</v>
      </c>
      <c r="I8" s="3">
        <v>16000</v>
      </c>
      <c r="J8" s="3">
        <v>80000</v>
      </c>
      <c r="K8" t="s">
        <v>24</v>
      </c>
      <c r="L8" t="str">
        <f t="shared" si="0"/>
        <v>CORRECT</v>
      </c>
      <c r="N8">
        <f>SUM(J2:J61)/COUNT(J2:J61)</f>
        <v>103791.66666666667</v>
      </c>
    </row>
    <row r="9" spans="1:18" x14ac:dyDescent="0.35">
      <c r="A9" t="s">
        <v>45</v>
      </c>
      <c r="B9" s="2">
        <v>46119</v>
      </c>
      <c r="C9" t="s">
        <v>12</v>
      </c>
      <c r="D9" t="s">
        <v>36</v>
      </c>
      <c r="E9" t="s">
        <v>32</v>
      </c>
      <c r="F9" t="s">
        <v>15</v>
      </c>
      <c r="G9" t="s">
        <v>16</v>
      </c>
      <c r="H9">
        <v>9</v>
      </c>
      <c r="I9" s="3">
        <v>30000</v>
      </c>
      <c r="J9" s="3">
        <v>270000</v>
      </c>
      <c r="K9" t="s">
        <v>17</v>
      </c>
      <c r="L9" t="str">
        <f t="shared" si="0"/>
        <v>CORRECT</v>
      </c>
    </row>
    <row r="10" spans="1:18" x14ac:dyDescent="0.35">
      <c r="A10" t="s">
        <v>46</v>
      </c>
      <c r="B10" s="2">
        <v>46203</v>
      </c>
      <c r="C10" t="s">
        <v>31</v>
      </c>
      <c r="D10" t="s">
        <v>36</v>
      </c>
      <c r="E10" t="s">
        <v>41</v>
      </c>
      <c r="F10" t="s">
        <v>15</v>
      </c>
      <c r="G10" t="s">
        <v>16</v>
      </c>
      <c r="H10">
        <v>1</v>
      </c>
      <c r="I10" s="3">
        <v>30000</v>
      </c>
      <c r="J10" s="3">
        <v>30000</v>
      </c>
      <c r="K10" t="s">
        <v>17</v>
      </c>
      <c r="L10" t="str">
        <f t="shared" si="0"/>
        <v>CORRECT</v>
      </c>
      <c r="O10" t="s">
        <v>162</v>
      </c>
      <c r="P10" t="s">
        <v>166</v>
      </c>
    </row>
    <row r="11" spans="1:18" x14ac:dyDescent="0.35">
      <c r="A11" t="s">
        <v>47</v>
      </c>
      <c r="B11" s="2">
        <v>46048</v>
      </c>
      <c r="C11" t="s">
        <v>35</v>
      </c>
      <c r="D11" t="s">
        <v>36</v>
      </c>
      <c r="E11" t="s">
        <v>48</v>
      </c>
      <c r="F11" t="s">
        <v>49</v>
      </c>
      <c r="G11" t="s">
        <v>16</v>
      </c>
      <c r="H11">
        <v>5</v>
      </c>
      <c r="I11" s="3">
        <v>18000</v>
      </c>
      <c r="J11" s="3">
        <v>90000</v>
      </c>
      <c r="K11" t="s">
        <v>33</v>
      </c>
      <c r="L11" t="str">
        <f t="shared" si="0"/>
        <v>CORRECT</v>
      </c>
      <c r="O11" t="s">
        <v>163</v>
      </c>
      <c r="P11">
        <f>COUNTIF(D:D,O11)</f>
        <v>13</v>
      </c>
    </row>
    <row r="12" spans="1:18" x14ac:dyDescent="0.35">
      <c r="A12" t="s">
        <v>50</v>
      </c>
      <c r="B12" s="2">
        <v>46113</v>
      </c>
      <c r="C12" t="s">
        <v>12</v>
      </c>
      <c r="D12" t="s">
        <v>26</v>
      </c>
      <c r="E12" t="s">
        <v>32</v>
      </c>
      <c r="F12" t="s">
        <v>28</v>
      </c>
      <c r="G12" t="s">
        <v>29</v>
      </c>
      <c r="H12">
        <v>11</v>
      </c>
      <c r="I12" s="3">
        <v>4500</v>
      </c>
      <c r="J12" s="3">
        <v>49500</v>
      </c>
      <c r="K12" t="s">
        <v>17</v>
      </c>
      <c r="L12" t="str">
        <f t="shared" si="0"/>
        <v>CORRECT</v>
      </c>
      <c r="O12" t="s">
        <v>77</v>
      </c>
      <c r="P12">
        <f t="shared" ref="P12:P14" si="1">COUNTIF(D:D,O12)</f>
        <v>17</v>
      </c>
    </row>
    <row r="13" spans="1:18" x14ac:dyDescent="0.35">
      <c r="A13" t="s">
        <v>51</v>
      </c>
      <c r="B13" s="2">
        <v>46159</v>
      </c>
      <c r="C13" t="s">
        <v>35</v>
      </c>
      <c r="D13" t="s">
        <v>20</v>
      </c>
      <c r="E13" t="s">
        <v>37</v>
      </c>
      <c r="F13" t="s">
        <v>28</v>
      </c>
      <c r="G13" t="s">
        <v>29</v>
      </c>
      <c r="H13">
        <v>3</v>
      </c>
      <c r="I13" s="3">
        <v>4500</v>
      </c>
      <c r="J13" s="3">
        <v>13500</v>
      </c>
      <c r="K13" t="s">
        <v>17</v>
      </c>
      <c r="L13" t="str">
        <f t="shared" si="0"/>
        <v>CORRECT</v>
      </c>
      <c r="O13" t="s">
        <v>164</v>
      </c>
      <c r="P13">
        <f t="shared" si="1"/>
        <v>16</v>
      </c>
    </row>
    <row r="14" spans="1:18" x14ac:dyDescent="0.35">
      <c r="A14" t="s">
        <v>52</v>
      </c>
      <c r="B14" s="2">
        <v>46198</v>
      </c>
      <c r="C14" t="s">
        <v>31</v>
      </c>
      <c r="D14" t="s">
        <v>26</v>
      </c>
      <c r="E14" t="s">
        <v>53</v>
      </c>
      <c r="F14" t="s">
        <v>42</v>
      </c>
      <c r="G14" t="s">
        <v>29</v>
      </c>
      <c r="H14">
        <v>1</v>
      </c>
      <c r="I14" s="3">
        <v>1500</v>
      </c>
      <c r="J14" s="3">
        <v>1500</v>
      </c>
      <c r="K14" t="s">
        <v>54</v>
      </c>
      <c r="L14" t="str">
        <f t="shared" si="0"/>
        <v>CORRECT</v>
      </c>
      <c r="O14" t="s">
        <v>165</v>
      </c>
      <c r="P14">
        <f t="shared" si="1"/>
        <v>14</v>
      </c>
    </row>
    <row r="15" spans="1:18" x14ac:dyDescent="0.35">
      <c r="A15" t="s">
        <v>55</v>
      </c>
      <c r="B15" s="2">
        <v>46091</v>
      </c>
      <c r="C15" t="s">
        <v>19</v>
      </c>
      <c r="D15" t="s">
        <v>36</v>
      </c>
      <c r="E15" t="s">
        <v>14</v>
      </c>
      <c r="F15" t="s">
        <v>15</v>
      </c>
      <c r="G15" t="s">
        <v>16</v>
      </c>
      <c r="H15">
        <v>4</v>
      </c>
      <c r="I15" s="3">
        <v>30000</v>
      </c>
      <c r="J15" s="3">
        <v>120000</v>
      </c>
      <c r="K15" t="s">
        <v>54</v>
      </c>
      <c r="L15" t="str">
        <f t="shared" si="0"/>
        <v>CORRECT</v>
      </c>
    </row>
    <row r="16" spans="1:18" x14ac:dyDescent="0.35">
      <c r="A16" t="s">
        <v>56</v>
      </c>
      <c r="B16" s="2">
        <v>46124</v>
      </c>
      <c r="C16" t="s">
        <v>12</v>
      </c>
      <c r="D16" t="s">
        <v>13</v>
      </c>
      <c r="E16" t="s">
        <v>14</v>
      </c>
      <c r="F16" t="s">
        <v>57</v>
      </c>
      <c r="G16" t="s">
        <v>58</v>
      </c>
      <c r="H16">
        <v>3</v>
      </c>
      <c r="I16" s="3">
        <v>22000</v>
      </c>
      <c r="J16" s="3">
        <v>66000</v>
      </c>
      <c r="K16" t="s">
        <v>33</v>
      </c>
      <c r="L16" t="str">
        <f t="shared" si="0"/>
        <v>CORRECT</v>
      </c>
    </row>
    <row r="17" spans="1:16" x14ac:dyDescent="0.35">
      <c r="A17" t="s">
        <v>59</v>
      </c>
      <c r="B17" s="2">
        <v>46172</v>
      </c>
      <c r="C17" t="s">
        <v>35</v>
      </c>
      <c r="D17" t="s">
        <v>36</v>
      </c>
      <c r="E17" t="s">
        <v>14</v>
      </c>
      <c r="F17" t="s">
        <v>49</v>
      </c>
      <c r="G17" t="s">
        <v>16</v>
      </c>
      <c r="H17">
        <v>10</v>
      </c>
      <c r="I17" s="3">
        <v>18000</v>
      </c>
      <c r="J17" s="3">
        <v>180000</v>
      </c>
      <c r="K17" t="s">
        <v>17</v>
      </c>
      <c r="L17" t="str">
        <f t="shared" si="0"/>
        <v>CORRECT</v>
      </c>
      <c r="O17" t="s">
        <v>167</v>
      </c>
      <c r="P17" t="s">
        <v>168</v>
      </c>
    </row>
    <row r="18" spans="1:16" x14ac:dyDescent="0.35">
      <c r="A18" t="s">
        <v>60</v>
      </c>
      <c r="B18" s="2">
        <v>46153</v>
      </c>
      <c r="C18" t="s">
        <v>40</v>
      </c>
      <c r="D18" t="s">
        <v>26</v>
      </c>
      <c r="F18" t="s">
        <v>57</v>
      </c>
      <c r="G18" t="s">
        <v>58</v>
      </c>
      <c r="H18">
        <v>2</v>
      </c>
      <c r="I18" s="3">
        <v>22000</v>
      </c>
      <c r="J18" s="3">
        <v>44000</v>
      </c>
      <c r="K18" t="s">
        <v>17</v>
      </c>
      <c r="L18" t="str">
        <f t="shared" si="0"/>
        <v>CORRECT</v>
      </c>
      <c r="O18" t="s">
        <v>169</v>
      </c>
      <c r="P18" t="str">
        <f>_xlfn.XLOOKUP(O18,'Product Lookup'!A:A,'Product Lookup'!B:B)</f>
        <v>Office</v>
      </c>
    </row>
    <row r="19" spans="1:16" x14ac:dyDescent="0.35">
      <c r="A19" t="s">
        <v>61</v>
      </c>
      <c r="B19" s="2">
        <v>46197</v>
      </c>
      <c r="C19" t="s">
        <v>40</v>
      </c>
      <c r="D19" t="s">
        <v>20</v>
      </c>
      <c r="E19" t="s">
        <v>62</v>
      </c>
      <c r="F19" t="s">
        <v>49</v>
      </c>
      <c r="G19" t="s">
        <v>16</v>
      </c>
      <c r="H19">
        <v>10</v>
      </c>
      <c r="I19" s="3">
        <v>18000</v>
      </c>
      <c r="J19" s="3">
        <v>180000</v>
      </c>
      <c r="K19" t="s">
        <v>54</v>
      </c>
      <c r="L19" t="str">
        <f t="shared" si="0"/>
        <v>CORRECT</v>
      </c>
    </row>
    <row r="20" spans="1:16" x14ac:dyDescent="0.35">
      <c r="A20" t="s">
        <v>63</v>
      </c>
      <c r="B20" s="2">
        <v>46158</v>
      </c>
      <c r="C20" t="s">
        <v>40</v>
      </c>
      <c r="D20" t="s">
        <v>26</v>
      </c>
      <c r="E20" t="s">
        <v>64</v>
      </c>
      <c r="F20" t="s">
        <v>65</v>
      </c>
      <c r="G20" t="s">
        <v>29</v>
      </c>
      <c r="H20">
        <v>9</v>
      </c>
      <c r="I20" s="3">
        <v>2500</v>
      </c>
      <c r="J20" s="3">
        <v>22500</v>
      </c>
      <c r="K20" t="s">
        <v>33</v>
      </c>
      <c r="L20" t="str">
        <f t="shared" si="0"/>
        <v>CORRECT</v>
      </c>
    </row>
    <row r="21" spans="1:16" x14ac:dyDescent="0.35">
      <c r="A21" t="s">
        <v>66</v>
      </c>
      <c r="B21" s="2">
        <v>46187</v>
      </c>
      <c r="C21" t="s">
        <v>12</v>
      </c>
      <c r="D21" t="s">
        <v>20</v>
      </c>
      <c r="E21" t="s">
        <v>48</v>
      </c>
      <c r="F21" t="s">
        <v>42</v>
      </c>
      <c r="G21" t="s">
        <v>29</v>
      </c>
      <c r="H21">
        <v>2</v>
      </c>
      <c r="I21" s="3">
        <v>1500</v>
      </c>
      <c r="J21" s="3">
        <v>3000</v>
      </c>
      <c r="K21" t="s">
        <v>54</v>
      </c>
      <c r="L21" t="str">
        <f t="shared" si="0"/>
        <v>CORRECT</v>
      </c>
    </row>
    <row r="22" spans="1:16" x14ac:dyDescent="0.35">
      <c r="A22" t="s">
        <v>67</v>
      </c>
      <c r="B22" s="2">
        <v>46023</v>
      </c>
      <c r="C22" t="s">
        <v>31</v>
      </c>
      <c r="D22" t="s">
        <v>26</v>
      </c>
      <c r="E22" t="s">
        <v>64</v>
      </c>
      <c r="F22" t="s">
        <v>65</v>
      </c>
      <c r="G22" t="s">
        <v>29</v>
      </c>
      <c r="H22">
        <v>9</v>
      </c>
      <c r="I22" s="3">
        <v>2500</v>
      </c>
      <c r="J22" s="3">
        <v>22500</v>
      </c>
      <c r="K22" t="s">
        <v>33</v>
      </c>
      <c r="L22" t="str">
        <f t="shared" si="0"/>
        <v>CORRECT</v>
      </c>
    </row>
    <row r="23" spans="1:16" x14ac:dyDescent="0.35">
      <c r="A23" t="s">
        <v>68</v>
      </c>
      <c r="B23" s="2">
        <v>46186</v>
      </c>
      <c r="C23" t="s">
        <v>31</v>
      </c>
      <c r="D23" t="s">
        <v>13</v>
      </c>
      <c r="E23" t="s">
        <v>53</v>
      </c>
      <c r="F23" t="s">
        <v>22</v>
      </c>
      <c r="G23" t="s">
        <v>23</v>
      </c>
      <c r="H23">
        <v>10</v>
      </c>
      <c r="I23" s="3">
        <v>12000</v>
      </c>
      <c r="J23" s="3">
        <v>120000</v>
      </c>
      <c r="K23" t="s">
        <v>17</v>
      </c>
      <c r="L23" t="str">
        <f t="shared" si="0"/>
        <v>CORRECT</v>
      </c>
    </row>
    <row r="24" spans="1:16" x14ac:dyDescent="0.35">
      <c r="A24" t="s">
        <v>69</v>
      </c>
      <c r="B24" s="2">
        <v>46161</v>
      </c>
      <c r="C24" t="s">
        <v>19</v>
      </c>
      <c r="D24" t="s">
        <v>36</v>
      </c>
      <c r="E24" t="s">
        <v>70</v>
      </c>
      <c r="F24" t="s">
        <v>22</v>
      </c>
      <c r="G24" t="s">
        <v>23</v>
      </c>
      <c r="H24">
        <v>1</v>
      </c>
      <c r="I24" s="3">
        <v>12000</v>
      </c>
      <c r="J24" s="3">
        <v>12000</v>
      </c>
      <c r="K24" t="s">
        <v>24</v>
      </c>
      <c r="L24" t="str">
        <f t="shared" si="0"/>
        <v>CORRECT</v>
      </c>
    </row>
    <row r="25" spans="1:16" x14ac:dyDescent="0.35">
      <c r="A25" t="s">
        <v>71</v>
      </c>
      <c r="B25" s="2">
        <v>46051</v>
      </c>
      <c r="C25" t="s">
        <v>31</v>
      </c>
      <c r="D25" t="s">
        <v>26</v>
      </c>
      <c r="E25" t="s">
        <v>14</v>
      </c>
      <c r="F25" t="s">
        <v>42</v>
      </c>
      <c r="G25" t="s">
        <v>29</v>
      </c>
      <c r="H25">
        <v>5</v>
      </c>
      <c r="I25" s="3">
        <v>1500</v>
      </c>
      <c r="J25" s="3">
        <v>7500</v>
      </c>
      <c r="K25" t="s">
        <v>24</v>
      </c>
      <c r="L25" t="str">
        <f t="shared" si="0"/>
        <v>CORRECT</v>
      </c>
    </row>
    <row r="26" spans="1:16" x14ac:dyDescent="0.35">
      <c r="A26" t="s">
        <v>72</v>
      </c>
      <c r="B26" s="2">
        <v>46044</v>
      </c>
      <c r="C26" t="s">
        <v>19</v>
      </c>
      <c r="D26" t="s">
        <v>13</v>
      </c>
      <c r="E26" t="s">
        <v>48</v>
      </c>
      <c r="F26" t="s">
        <v>57</v>
      </c>
      <c r="G26" t="s">
        <v>58</v>
      </c>
      <c r="H26">
        <v>2</v>
      </c>
      <c r="I26" s="3">
        <v>22000</v>
      </c>
      <c r="J26" s="3">
        <v>44000</v>
      </c>
      <c r="K26" t="s">
        <v>54</v>
      </c>
      <c r="L26" t="str">
        <f t="shared" si="0"/>
        <v>CORRECT</v>
      </c>
    </row>
    <row r="27" spans="1:16" x14ac:dyDescent="0.35">
      <c r="A27" t="s">
        <v>73</v>
      </c>
      <c r="B27" s="2">
        <v>46163</v>
      </c>
      <c r="C27" t="s">
        <v>19</v>
      </c>
      <c r="D27" t="s">
        <v>20</v>
      </c>
      <c r="E27" t="s">
        <v>14</v>
      </c>
      <c r="F27" t="s">
        <v>38</v>
      </c>
      <c r="G27" t="s">
        <v>16</v>
      </c>
      <c r="H27">
        <v>5</v>
      </c>
      <c r="I27" s="3">
        <v>25000</v>
      </c>
      <c r="J27" s="3">
        <v>125000</v>
      </c>
      <c r="K27" t="s">
        <v>17</v>
      </c>
      <c r="L27" t="str">
        <f t="shared" si="0"/>
        <v>CORRECT</v>
      </c>
    </row>
    <row r="28" spans="1:16" x14ac:dyDescent="0.35">
      <c r="A28" t="s">
        <v>74</v>
      </c>
      <c r="B28" s="2">
        <v>46102</v>
      </c>
      <c r="C28" t="s">
        <v>12</v>
      </c>
      <c r="D28" t="s">
        <v>20</v>
      </c>
      <c r="E28" t="s">
        <v>27</v>
      </c>
      <c r="F28" t="s">
        <v>49</v>
      </c>
      <c r="G28" t="s">
        <v>16</v>
      </c>
      <c r="H28">
        <v>11</v>
      </c>
      <c r="I28" s="3">
        <v>18000</v>
      </c>
      <c r="J28" s="3">
        <v>198000</v>
      </c>
      <c r="K28" t="s">
        <v>54</v>
      </c>
      <c r="L28" t="str">
        <f t="shared" si="0"/>
        <v>CORRECT</v>
      </c>
    </row>
    <row r="29" spans="1:16" x14ac:dyDescent="0.35">
      <c r="A29" t="s">
        <v>75</v>
      </c>
      <c r="B29" s="2">
        <v>46053</v>
      </c>
      <c r="C29" t="s">
        <v>40</v>
      </c>
      <c r="D29" t="s">
        <v>36</v>
      </c>
      <c r="E29" t="s">
        <v>21</v>
      </c>
      <c r="F29" t="s">
        <v>28</v>
      </c>
      <c r="G29" t="s">
        <v>29</v>
      </c>
      <c r="H29">
        <v>4</v>
      </c>
      <c r="I29" s="3">
        <v>4500</v>
      </c>
      <c r="J29" s="3">
        <v>18000</v>
      </c>
      <c r="K29" t="s">
        <v>17</v>
      </c>
      <c r="L29" t="str">
        <f t="shared" si="0"/>
        <v>CORRECT</v>
      </c>
    </row>
    <row r="30" spans="1:16" x14ac:dyDescent="0.35">
      <c r="A30" t="s">
        <v>76</v>
      </c>
      <c r="B30" s="2">
        <v>46173</v>
      </c>
      <c r="C30" t="s">
        <v>40</v>
      </c>
      <c r="D30" t="s">
        <v>77</v>
      </c>
      <c r="E30" t="s">
        <v>14</v>
      </c>
      <c r="F30" t="s">
        <v>28</v>
      </c>
      <c r="G30" t="s">
        <v>29</v>
      </c>
      <c r="H30">
        <v>1</v>
      </c>
      <c r="I30" s="3">
        <v>4500</v>
      </c>
      <c r="J30" s="3">
        <v>4500</v>
      </c>
      <c r="K30" t="s">
        <v>24</v>
      </c>
      <c r="L30" t="str">
        <f t="shared" si="0"/>
        <v>CORRECT</v>
      </c>
    </row>
    <row r="31" spans="1:16" x14ac:dyDescent="0.35">
      <c r="A31" t="s">
        <v>78</v>
      </c>
      <c r="B31" s="2">
        <v>46031</v>
      </c>
      <c r="C31" t="s">
        <v>19</v>
      </c>
      <c r="D31" t="s">
        <v>13</v>
      </c>
      <c r="E31" t="s">
        <v>37</v>
      </c>
      <c r="F31" t="s">
        <v>42</v>
      </c>
      <c r="G31" t="s">
        <v>29</v>
      </c>
      <c r="H31">
        <v>2</v>
      </c>
      <c r="I31" s="3">
        <v>1500</v>
      </c>
      <c r="J31" s="3">
        <v>3000</v>
      </c>
      <c r="K31" t="s">
        <v>54</v>
      </c>
      <c r="L31" t="str">
        <f t="shared" si="0"/>
        <v>CORRECT</v>
      </c>
    </row>
    <row r="32" spans="1:16" x14ac:dyDescent="0.35">
      <c r="A32" t="s">
        <v>79</v>
      </c>
      <c r="B32" s="2">
        <v>46077</v>
      </c>
      <c r="C32" t="s">
        <v>19</v>
      </c>
      <c r="D32" t="s">
        <v>20</v>
      </c>
      <c r="E32" t="s">
        <v>14</v>
      </c>
      <c r="F32" t="s">
        <v>22</v>
      </c>
      <c r="G32" t="s">
        <v>23</v>
      </c>
      <c r="H32">
        <v>3</v>
      </c>
      <c r="I32" s="3">
        <v>12000</v>
      </c>
      <c r="J32" s="3">
        <v>36000</v>
      </c>
      <c r="K32" t="s">
        <v>54</v>
      </c>
      <c r="L32" t="str">
        <f t="shared" si="0"/>
        <v>CORRECT</v>
      </c>
    </row>
    <row r="33" spans="1:12" x14ac:dyDescent="0.35">
      <c r="A33" t="s">
        <v>80</v>
      </c>
      <c r="B33" s="2">
        <v>46127</v>
      </c>
      <c r="C33" t="s">
        <v>40</v>
      </c>
      <c r="D33" t="s">
        <v>20</v>
      </c>
      <c r="E33" t="s">
        <v>53</v>
      </c>
      <c r="F33" t="s">
        <v>28</v>
      </c>
      <c r="G33" t="s">
        <v>29</v>
      </c>
      <c r="H33">
        <v>2</v>
      </c>
      <c r="I33" s="3">
        <v>4500</v>
      </c>
      <c r="J33" s="3">
        <v>9000</v>
      </c>
      <c r="K33" t="s">
        <v>54</v>
      </c>
      <c r="L33" t="str">
        <f t="shared" si="0"/>
        <v>CORRECT</v>
      </c>
    </row>
    <row r="34" spans="1:12" x14ac:dyDescent="0.35">
      <c r="A34" t="s">
        <v>81</v>
      </c>
      <c r="B34" s="2">
        <v>46128</v>
      </c>
      <c r="C34" t="s">
        <v>40</v>
      </c>
      <c r="D34" t="s">
        <v>26</v>
      </c>
      <c r="E34" t="s">
        <v>21</v>
      </c>
      <c r="F34" t="s">
        <v>57</v>
      </c>
      <c r="G34" t="s">
        <v>58</v>
      </c>
      <c r="H34">
        <v>12</v>
      </c>
      <c r="I34" s="3">
        <v>22000</v>
      </c>
      <c r="J34" s="3">
        <v>264000</v>
      </c>
      <c r="K34" t="s">
        <v>54</v>
      </c>
      <c r="L34" t="str">
        <f t="shared" si="0"/>
        <v>CORRECT</v>
      </c>
    </row>
    <row r="35" spans="1:12" x14ac:dyDescent="0.35">
      <c r="A35" t="s">
        <v>82</v>
      </c>
      <c r="B35" s="2">
        <v>46109</v>
      </c>
      <c r="C35" t="s">
        <v>31</v>
      </c>
      <c r="D35" t="s">
        <v>13</v>
      </c>
      <c r="E35" t="s">
        <v>27</v>
      </c>
      <c r="F35" t="s">
        <v>15</v>
      </c>
      <c r="G35" t="s">
        <v>16</v>
      </c>
      <c r="H35">
        <v>4</v>
      </c>
      <c r="I35" s="3">
        <v>30000</v>
      </c>
      <c r="J35" s="3">
        <v>120000</v>
      </c>
      <c r="K35" t="s">
        <v>54</v>
      </c>
      <c r="L35" t="str">
        <f t="shared" si="0"/>
        <v>CORRECT</v>
      </c>
    </row>
    <row r="36" spans="1:12" x14ac:dyDescent="0.35">
      <c r="A36" t="s">
        <v>83</v>
      </c>
      <c r="B36" s="2">
        <v>46058</v>
      </c>
      <c r="C36" t="s">
        <v>12</v>
      </c>
      <c r="D36" t="s">
        <v>20</v>
      </c>
      <c r="E36" t="s">
        <v>14</v>
      </c>
      <c r="F36" t="s">
        <v>49</v>
      </c>
      <c r="G36" t="s">
        <v>16</v>
      </c>
      <c r="H36">
        <v>3</v>
      </c>
      <c r="I36" s="3">
        <v>18000</v>
      </c>
      <c r="J36" s="3">
        <v>54000</v>
      </c>
      <c r="K36" t="s">
        <v>24</v>
      </c>
      <c r="L36" t="str">
        <f t="shared" si="0"/>
        <v>CORRECT</v>
      </c>
    </row>
    <row r="37" spans="1:12" x14ac:dyDescent="0.35">
      <c r="A37" t="s">
        <v>84</v>
      </c>
      <c r="B37" s="2">
        <v>46136</v>
      </c>
      <c r="C37" t="s">
        <v>40</v>
      </c>
      <c r="D37" t="s">
        <v>26</v>
      </c>
      <c r="E37" t="s">
        <v>41</v>
      </c>
      <c r="F37" t="s">
        <v>22</v>
      </c>
      <c r="G37" t="s">
        <v>23</v>
      </c>
      <c r="H37">
        <v>2</v>
      </c>
      <c r="I37" s="3">
        <v>12000</v>
      </c>
      <c r="J37" s="3">
        <v>24000</v>
      </c>
      <c r="K37" t="s">
        <v>17</v>
      </c>
      <c r="L37" t="str">
        <f t="shared" si="0"/>
        <v>CORRECT</v>
      </c>
    </row>
    <row r="38" spans="1:12" x14ac:dyDescent="0.35">
      <c r="A38" t="s">
        <v>85</v>
      </c>
      <c r="B38" s="2">
        <v>46065</v>
      </c>
      <c r="C38" t="s">
        <v>35</v>
      </c>
      <c r="D38" t="s">
        <v>13</v>
      </c>
      <c r="E38" t="s">
        <v>62</v>
      </c>
      <c r="F38" t="s">
        <v>49</v>
      </c>
      <c r="G38" t="s">
        <v>16</v>
      </c>
      <c r="H38">
        <v>8</v>
      </c>
      <c r="I38" s="3">
        <v>18000</v>
      </c>
      <c r="J38" s="3">
        <v>144000</v>
      </c>
      <c r="K38" t="s">
        <v>24</v>
      </c>
      <c r="L38" t="str">
        <f t="shared" si="0"/>
        <v>CORRECT</v>
      </c>
    </row>
    <row r="39" spans="1:12" x14ac:dyDescent="0.35">
      <c r="A39" t="s">
        <v>86</v>
      </c>
      <c r="B39" s="2">
        <v>46065</v>
      </c>
      <c r="C39" t="s">
        <v>35</v>
      </c>
      <c r="D39" t="s">
        <v>36</v>
      </c>
      <c r="E39" t="s">
        <v>70</v>
      </c>
      <c r="F39" t="s">
        <v>49</v>
      </c>
      <c r="G39" t="s">
        <v>16</v>
      </c>
      <c r="H39">
        <v>1</v>
      </c>
      <c r="I39" s="3">
        <v>18000</v>
      </c>
      <c r="J39" s="3">
        <v>18000</v>
      </c>
      <c r="K39" t="s">
        <v>33</v>
      </c>
      <c r="L39" t="str">
        <f t="shared" si="0"/>
        <v>CORRECT</v>
      </c>
    </row>
    <row r="40" spans="1:12" x14ac:dyDescent="0.35">
      <c r="A40" t="s">
        <v>87</v>
      </c>
      <c r="B40" s="2">
        <v>46131</v>
      </c>
      <c r="C40" t="s">
        <v>35</v>
      </c>
      <c r="D40" t="s">
        <v>13</v>
      </c>
      <c r="E40" t="s">
        <v>14</v>
      </c>
      <c r="F40" t="s">
        <v>22</v>
      </c>
      <c r="G40" t="s">
        <v>23</v>
      </c>
      <c r="H40">
        <v>11</v>
      </c>
      <c r="I40" s="3">
        <v>12000</v>
      </c>
      <c r="J40" s="3">
        <v>132000</v>
      </c>
      <c r="K40" t="s">
        <v>33</v>
      </c>
      <c r="L40" t="str">
        <f t="shared" si="0"/>
        <v>CORRECT</v>
      </c>
    </row>
    <row r="41" spans="1:12" x14ac:dyDescent="0.35">
      <c r="A41" t="s">
        <v>88</v>
      </c>
      <c r="B41" s="2">
        <v>46078</v>
      </c>
      <c r="C41" t="s">
        <v>19</v>
      </c>
      <c r="D41" t="s">
        <v>26</v>
      </c>
      <c r="E41" t="s">
        <v>89</v>
      </c>
      <c r="F41" t="s">
        <v>90</v>
      </c>
      <c r="G41" t="s">
        <v>16</v>
      </c>
      <c r="H41">
        <v>10</v>
      </c>
      <c r="I41" s="3">
        <v>65000</v>
      </c>
      <c r="J41" s="3">
        <v>650000</v>
      </c>
      <c r="K41" t="s">
        <v>33</v>
      </c>
      <c r="L41" t="str">
        <f t="shared" si="0"/>
        <v>CORRECT</v>
      </c>
    </row>
    <row r="42" spans="1:12" x14ac:dyDescent="0.35">
      <c r="A42" t="s">
        <v>91</v>
      </c>
      <c r="B42" s="2">
        <v>46037</v>
      </c>
      <c r="C42" t="s">
        <v>35</v>
      </c>
      <c r="D42" t="s">
        <v>13</v>
      </c>
      <c r="E42" t="s">
        <v>21</v>
      </c>
      <c r="F42" t="s">
        <v>90</v>
      </c>
      <c r="G42" t="s">
        <v>16</v>
      </c>
      <c r="H42">
        <v>10</v>
      </c>
      <c r="I42" s="3">
        <v>65000</v>
      </c>
      <c r="J42" s="3">
        <v>650000</v>
      </c>
      <c r="K42" t="s">
        <v>24</v>
      </c>
      <c r="L42" t="str">
        <f t="shared" si="0"/>
        <v>CORRECT</v>
      </c>
    </row>
    <row r="43" spans="1:12" x14ac:dyDescent="0.35">
      <c r="A43" t="s">
        <v>92</v>
      </c>
      <c r="B43" s="2">
        <v>46070</v>
      </c>
      <c r="C43" t="s">
        <v>40</v>
      </c>
      <c r="D43" t="s">
        <v>13</v>
      </c>
      <c r="E43" t="s">
        <v>62</v>
      </c>
      <c r="F43" t="s">
        <v>15</v>
      </c>
      <c r="G43" t="s">
        <v>16</v>
      </c>
      <c r="H43">
        <v>10</v>
      </c>
      <c r="I43" s="3">
        <v>30000</v>
      </c>
      <c r="J43" s="3">
        <v>300000</v>
      </c>
      <c r="K43" t="s">
        <v>24</v>
      </c>
      <c r="L43" t="str">
        <f t="shared" si="0"/>
        <v>CORRECT</v>
      </c>
    </row>
    <row r="44" spans="1:12" x14ac:dyDescent="0.35">
      <c r="A44" t="s">
        <v>93</v>
      </c>
      <c r="B44" s="2">
        <v>46168</v>
      </c>
      <c r="C44" t="s">
        <v>19</v>
      </c>
      <c r="D44" t="s">
        <v>26</v>
      </c>
      <c r="F44" t="s">
        <v>28</v>
      </c>
      <c r="G44" t="s">
        <v>29</v>
      </c>
      <c r="H44">
        <v>10</v>
      </c>
      <c r="I44" s="3">
        <v>4500</v>
      </c>
      <c r="J44" s="3">
        <v>45000</v>
      </c>
      <c r="K44" t="s">
        <v>24</v>
      </c>
      <c r="L44" t="str">
        <f t="shared" si="0"/>
        <v>CORRECT</v>
      </c>
    </row>
    <row r="45" spans="1:12" x14ac:dyDescent="0.35">
      <c r="A45" t="s">
        <v>94</v>
      </c>
      <c r="B45" s="2">
        <v>46130</v>
      </c>
      <c r="C45" t="s">
        <v>19</v>
      </c>
      <c r="D45" t="s">
        <v>36</v>
      </c>
      <c r="E45" t="s">
        <v>37</v>
      </c>
      <c r="F45" t="s">
        <v>44</v>
      </c>
      <c r="G45" t="s">
        <v>23</v>
      </c>
      <c r="H45">
        <v>10</v>
      </c>
      <c r="I45" s="3">
        <v>16000</v>
      </c>
      <c r="J45" s="3">
        <v>160000</v>
      </c>
      <c r="K45" t="s">
        <v>17</v>
      </c>
      <c r="L45" t="str">
        <f t="shared" si="0"/>
        <v>CORRECT</v>
      </c>
    </row>
    <row r="46" spans="1:12" x14ac:dyDescent="0.35">
      <c r="A46" t="s">
        <v>95</v>
      </c>
      <c r="B46" s="2">
        <v>46194</v>
      </c>
      <c r="C46" t="s">
        <v>12</v>
      </c>
      <c r="D46" t="s">
        <v>20</v>
      </c>
      <c r="E46" t="s">
        <v>48</v>
      </c>
      <c r="F46" t="s">
        <v>42</v>
      </c>
      <c r="G46" t="s">
        <v>29</v>
      </c>
      <c r="H46">
        <v>4</v>
      </c>
      <c r="I46" s="3">
        <v>1500</v>
      </c>
      <c r="J46" s="3">
        <v>6000</v>
      </c>
      <c r="K46" t="s">
        <v>33</v>
      </c>
      <c r="L46" t="str">
        <f t="shared" si="0"/>
        <v>CORRECT</v>
      </c>
    </row>
    <row r="47" spans="1:12" x14ac:dyDescent="0.35">
      <c r="A47" t="s">
        <v>96</v>
      </c>
      <c r="B47" s="2">
        <v>46140</v>
      </c>
      <c r="C47" t="s">
        <v>40</v>
      </c>
      <c r="D47" t="s">
        <v>20</v>
      </c>
      <c r="E47" t="s">
        <v>32</v>
      </c>
      <c r="F47" t="s">
        <v>42</v>
      </c>
      <c r="G47" t="s">
        <v>29</v>
      </c>
      <c r="H47">
        <v>2</v>
      </c>
      <c r="I47" s="3">
        <v>1500</v>
      </c>
      <c r="J47" s="3">
        <v>3000</v>
      </c>
      <c r="K47" t="s">
        <v>24</v>
      </c>
      <c r="L47" t="str">
        <f t="shared" si="0"/>
        <v>CORRECT</v>
      </c>
    </row>
    <row r="48" spans="1:12" x14ac:dyDescent="0.35">
      <c r="A48" t="s">
        <v>97</v>
      </c>
      <c r="B48" s="2">
        <v>46041</v>
      </c>
      <c r="C48" t="s">
        <v>19</v>
      </c>
      <c r="D48" t="s">
        <v>36</v>
      </c>
      <c r="E48" t="s">
        <v>48</v>
      </c>
      <c r="F48" t="s">
        <v>22</v>
      </c>
      <c r="G48" t="s">
        <v>23</v>
      </c>
      <c r="H48">
        <v>4</v>
      </c>
      <c r="I48" s="3">
        <v>12000</v>
      </c>
      <c r="J48" s="3">
        <v>48000</v>
      </c>
      <c r="K48" t="s">
        <v>33</v>
      </c>
      <c r="L48" t="str">
        <f t="shared" si="0"/>
        <v>CORRECT</v>
      </c>
    </row>
    <row r="49" spans="1:12" x14ac:dyDescent="0.35">
      <c r="A49" t="s">
        <v>98</v>
      </c>
      <c r="B49" s="2">
        <v>46040</v>
      </c>
      <c r="C49" t="s">
        <v>12</v>
      </c>
      <c r="D49" t="s">
        <v>13</v>
      </c>
      <c r="E49" t="s">
        <v>70</v>
      </c>
      <c r="F49" t="s">
        <v>28</v>
      </c>
      <c r="G49" t="s">
        <v>29</v>
      </c>
      <c r="H49">
        <v>6</v>
      </c>
      <c r="I49" s="3">
        <v>4500</v>
      </c>
      <c r="J49" s="3">
        <v>27000</v>
      </c>
      <c r="K49" t="s">
        <v>33</v>
      </c>
      <c r="L49" t="str">
        <f t="shared" si="0"/>
        <v>CORRECT</v>
      </c>
    </row>
    <row r="50" spans="1:12" x14ac:dyDescent="0.35">
      <c r="A50" t="s">
        <v>99</v>
      </c>
      <c r="B50" s="2">
        <v>46179</v>
      </c>
      <c r="C50" t="s">
        <v>19</v>
      </c>
      <c r="D50" t="s">
        <v>36</v>
      </c>
      <c r="E50" t="s">
        <v>64</v>
      </c>
      <c r="F50" t="s">
        <v>22</v>
      </c>
      <c r="G50" t="s">
        <v>23</v>
      </c>
      <c r="H50">
        <v>1</v>
      </c>
      <c r="I50" s="3">
        <v>12000</v>
      </c>
      <c r="J50" s="3">
        <v>12000</v>
      </c>
      <c r="K50" t="s">
        <v>24</v>
      </c>
      <c r="L50" t="str">
        <f t="shared" si="0"/>
        <v>CORRECT</v>
      </c>
    </row>
    <row r="51" spans="1:12" x14ac:dyDescent="0.35">
      <c r="A51" t="s">
        <v>100</v>
      </c>
      <c r="B51" s="2">
        <v>46057</v>
      </c>
      <c r="C51" t="s">
        <v>40</v>
      </c>
      <c r="D51" t="s">
        <v>13</v>
      </c>
      <c r="E51" t="s">
        <v>37</v>
      </c>
      <c r="F51" t="s">
        <v>65</v>
      </c>
      <c r="G51" t="s">
        <v>29</v>
      </c>
      <c r="H51">
        <v>2</v>
      </c>
      <c r="I51" s="3">
        <v>2500</v>
      </c>
      <c r="J51" s="3">
        <v>5000</v>
      </c>
      <c r="K51" t="s">
        <v>33</v>
      </c>
      <c r="L51" t="str">
        <f t="shared" si="0"/>
        <v>CORRECT</v>
      </c>
    </row>
    <row r="52" spans="1:12" x14ac:dyDescent="0.35">
      <c r="A52" t="s">
        <v>101</v>
      </c>
      <c r="B52" s="2">
        <v>46177</v>
      </c>
      <c r="C52" t="s">
        <v>12</v>
      </c>
      <c r="D52" t="s">
        <v>13</v>
      </c>
      <c r="E52" t="s">
        <v>64</v>
      </c>
      <c r="F52" t="s">
        <v>28</v>
      </c>
      <c r="G52" t="s">
        <v>29</v>
      </c>
      <c r="H52">
        <v>12</v>
      </c>
      <c r="I52" s="3">
        <v>4500</v>
      </c>
      <c r="J52" s="3">
        <v>54000</v>
      </c>
      <c r="K52" t="s">
        <v>33</v>
      </c>
      <c r="L52" t="str">
        <f t="shared" si="0"/>
        <v>CORRECT</v>
      </c>
    </row>
    <row r="53" spans="1:12" x14ac:dyDescent="0.35">
      <c r="A53" t="s">
        <v>102</v>
      </c>
      <c r="B53" s="2">
        <v>46152</v>
      </c>
      <c r="C53" t="s">
        <v>40</v>
      </c>
      <c r="D53" t="s">
        <v>26</v>
      </c>
      <c r="E53" t="s">
        <v>64</v>
      </c>
      <c r="F53" t="s">
        <v>57</v>
      </c>
      <c r="G53" t="s">
        <v>58</v>
      </c>
      <c r="H53">
        <v>5</v>
      </c>
      <c r="I53" s="3">
        <v>22000</v>
      </c>
      <c r="J53" s="3">
        <v>110000</v>
      </c>
      <c r="K53" t="s">
        <v>54</v>
      </c>
      <c r="L53" t="str">
        <f t="shared" si="0"/>
        <v>CORRECT</v>
      </c>
    </row>
    <row r="54" spans="1:12" x14ac:dyDescent="0.35">
      <c r="A54" t="s">
        <v>103</v>
      </c>
      <c r="B54" s="2">
        <v>46093</v>
      </c>
      <c r="C54" t="s">
        <v>12</v>
      </c>
      <c r="D54" t="s">
        <v>13</v>
      </c>
      <c r="E54" t="s">
        <v>64</v>
      </c>
      <c r="F54" t="s">
        <v>90</v>
      </c>
      <c r="G54" t="s">
        <v>16</v>
      </c>
      <c r="H54">
        <v>1</v>
      </c>
      <c r="I54" s="3">
        <v>65000</v>
      </c>
      <c r="J54" s="3">
        <v>65000</v>
      </c>
      <c r="K54" t="s">
        <v>33</v>
      </c>
      <c r="L54" t="str">
        <f t="shared" si="0"/>
        <v>CORRECT</v>
      </c>
    </row>
    <row r="55" spans="1:12" x14ac:dyDescent="0.35">
      <c r="A55" t="s">
        <v>104</v>
      </c>
      <c r="B55" s="2">
        <v>46064</v>
      </c>
      <c r="C55" t="s">
        <v>35</v>
      </c>
      <c r="D55" t="s">
        <v>26</v>
      </c>
      <c r="E55" t="s">
        <v>41</v>
      </c>
      <c r="F55" t="s">
        <v>57</v>
      </c>
      <c r="G55" t="s">
        <v>58</v>
      </c>
      <c r="H55">
        <v>9</v>
      </c>
      <c r="I55" s="3">
        <v>22000</v>
      </c>
      <c r="J55" s="3">
        <v>198000</v>
      </c>
      <c r="K55" t="s">
        <v>24</v>
      </c>
      <c r="L55" t="str">
        <f t="shared" si="0"/>
        <v>CORRECT</v>
      </c>
    </row>
    <row r="56" spans="1:12" x14ac:dyDescent="0.35">
      <c r="A56" t="s">
        <v>105</v>
      </c>
      <c r="B56" s="2">
        <v>46199</v>
      </c>
      <c r="C56" t="s">
        <v>106</v>
      </c>
      <c r="D56" t="s">
        <v>36</v>
      </c>
      <c r="E56" t="s">
        <v>32</v>
      </c>
      <c r="F56" t="s">
        <v>38</v>
      </c>
      <c r="G56" t="s">
        <v>16</v>
      </c>
      <c r="H56">
        <v>9</v>
      </c>
      <c r="I56" s="3">
        <v>25000</v>
      </c>
      <c r="J56" s="3">
        <v>225000</v>
      </c>
      <c r="K56" t="s">
        <v>17</v>
      </c>
      <c r="L56" t="str">
        <f t="shared" si="0"/>
        <v>CORRECT</v>
      </c>
    </row>
    <row r="57" spans="1:12" x14ac:dyDescent="0.35">
      <c r="A57" t="s">
        <v>107</v>
      </c>
      <c r="B57" s="2">
        <v>46133</v>
      </c>
      <c r="C57" t="s">
        <v>12</v>
      </c>
      <c r="D57" t="s">
        <v>36</v>
      </c>
      <c r="E57" t="s">
        <v>21</v>
      </c>
      <c r="F57" t="s">
        <v>38</v>
      </c>
      <c r="G57" t="s">
        <v>16</v>
      </c>
      <c r="H57">
        <v>1</v>
      </c>
      <c r="I57" s="3">
        <v>25000</v>
      </c>
      <c r="J57" s="3">
        <v>25000</v>
      </c>
      <c r="K57" t="s">
        <v>33</v>
      </c>
      <c r="L57" t="str">
        <f t="shared" si="0"/>
        <v>CORRECT</v>
      </c>
    </row>
    <row r="58" spans="1:12" x14ac:dyDescent="0.35">
      <c r="A58" t="s">
        <v>108</v>
      </c>
      <c r="B58" s="2">
        <v>46076</v>
      </c>
      <c r="C58" t="s">
        <v>40</v>
      </c>
      <c r="D58" t="s">
        <v>36</v>
      </c>
      <c r="E58" t="s">
        <v>27</v>
      </c>
      <c r="F58" t="s">
        <v>28</v>
      </c>
      <c r="G58" t="s">
        <v>29</v>
      </c>
      <c r="H58">
        <v>11</v>
      </c>
      <c r="I58" s="3">
        <v>4500</v>
      </c>
      <c r="J58" s="3">
        <v>49500</v>
      </c>
      <c r="K58" t="s">
        <v>54</v>
      </c>
      <c r="L58" t="str">
        <f t="shared" si="0"/>
        <v>CORRECT</v>
      </c>
    </row>
    <row r="59" spans="1:12" x14ac:dyDescent="0.35">
      <c r="A59" t="s">
        <v>109</v>
      </c>
      <c r="B59" s="2">
        <v>46181</v>
      </c>
      <c r="C59" t="s">
        <v>31</v>
      </c>
      <c r="D59" t="s">
        <v>13</v>
      </c>
      <c r="E59" t="s">
        <v>62</v>
      </c>
      <c r="F59" t="s">
        <v>38</v>
      </c>
      <c r="G59" t="s">
        <v>16</v>
      </c>
      <c r="H59">
        <v>4</v>
      </c>
      <c r="I59" s="3">
        <v>25000</v>
      </c>
      <c r="J59" s="3">
        <v>100000</v>
      </c>
      <c r="K59" t="s">
        <v>24</v>
      </c>
      <c r="L59" t="str">
        <f t="shared" si="0"/>
        <v>CORRECT</v>
      </c>
    </row>
    <row r="60" spans="1:12" x14ac:dyDescent="0.35">
      <c r="A60" t="s">
        <v>110</v>
      </c>
      <c r="B60" s="2">
        <v>46068</v>
      </c>
      <c r="C60" t="s">
        <v>31</v>
      </c>
      <c r="D60" t="s">
        <v>36</v>
      </c>
      <c r="E60" t="s">
        <v>48</v>
      </c>
      <c r="F60" t="s">
        <v>42</v>
      </c>
      <c r="G60" t="s">
        <v>29</v>
      </c>
      <c r="H60">
        <v>7</v>
      </c>
      <c r="I60" s="3">
        <v>1500</v>
      </c>
      <c r="J60" s="3">
        <v>10500</v>
      </c>
      <c r="K60" t="s">
        <v>24</v>
      </c>
      <c r="L60" t="str">
        <f t="shared" si="0"/>
        <v>CORRECT</v>
      </c>
    </row>
    <row r="61" spans="1:12" x14ac:dyDescent="0.35">
      <c r="A61" t="s">
        <v>111</v>
      </c>
      <c r="B61" s="2">
        <v>46120</v>
      </c>
      <c r="C61" t="s">
        <v>31</v>
      </c>
      <c r="D61" t="s">
        <v>13</v>
      </c>
      <c r="E61" t="s">
        <v>70</v>
      </c>
      <c r="F61" t="s">
        <v>90</v>
      </c>
      <c r="G61" t="s">
        <v>16</v>
      </c>
      <c r="H61">
        <v>8</v>
      </c>
      <c r="I61" s="3">
        <v>65000</v>
      </c>
      <c r="J61" s="3">
        <v>520000</v>
      </c>
      <c r="K61" t="s">
        <v>33</v>
      </c>
      <c r="L61" t="str">
        <f t="shared" si="0"/>
        <v>CORRECT</v>
      </c>
    </row>
    <row r="62" spans="1:12" x14ac:dyDescent="0.35">
      <c r="I62" s="16" t="s">
        <v>161</v>
      </c>
      <c r="J62" s="3">
        <f>SUM(J2:J61)</f>
        <v>6227500</v>
      </c>
    </row>
    <row r="63" spans="1:12" x14ac:dyDescent="0.35">
      <c r="A63">
        <f>COUNTA(_xlfn.UNIQUE(A2:A61))</f>
        <v>60</v>
      </c>
    </row>
  </sheetData>
  <autoFilter ref="A1:K61" xr:uid="{00000000-0001-0000-0000-000000000000}"/>
  <sortState xmlns:xlrd2="http://schemas.microsoft.com/office/spreadsheetml/2017/richdata2" ref="N2:P6">
    <sortCondition descending="1" ref="P4:P6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8" customWidth="1"/>
  </cols>
  <sheetData>
    <row r="1" spans="1:3" x14ac:dyDescent="0.35">
      <c r="A1" s="4" t="s">
        <v>5</v>
      </c>
      <c r="B1" s="4" t="s">
        <v>6</v>
      </c>
      <c r="C1" s="4" t="s">
        <v>8</v>
      </c>
    </row>
    <row r="2" spans="1:3" x14ac:dyDescent="0.35">
      <c r="A2" t="s">
        <v>90</v>
      </c>
      <c r="B2" t="s">
        <v>16</v>
      </c>
      <c r="C2" s="3">
        <v>65000</v>
      </c>
    </row>
    <row r="3" spans="1:3" x14ac:dyDescent="0.35">
      <c r="A3" t="s">
        <v>15</v>
      </c>
      <c r="B3" t="s">
        <v>16</v>
      </c>
      <c r="C3" s="3">
        <v>30000</v>
      </c>
    </row>
    <row r="4" spans="1:3" x14ac:dyDescent="0.35">
      <c r="A4" t="s">
        <v>38</v>
      </c>
      <c r="B4" t="s">
        <v>16</v>
      </c>
      <c r="C4" s="3">
        <v>25000</v>
      </c>
    </row>
    <row r="5" spans="1:3" x14ac:dyDescent="0.35">
      <c r="A5" t="s">
        <v>28</v>
      </c>
      <c r="B5" t="s">
        <v>29</v>
      </c>
      <c r="C5" s="3">
        <v>4500</v>
      </c>
    </row>
    <row r="6" spans="1:3" x14ac:dyDescent="0.35">
      <c r="A6" t="s">
        <v>65</v>
      </c>
      <c r="B6" t="s">
        <v>29</v>
      </c>
      <c r="C6" s="3">
        <v>2500</v>
      </c>
    </row>
    <row r="7" spans="1:3" x14ac:dyDescent="0.35">
      <c r="A7" t="s">
        <v>42</v>
      </c>
      <c r="B7" t="s">
        <v>29</v>
      </c>
      <c r="C7" s="3">
        <v>1500</v>
      </c>
    </row>
    <row r="8" spans="1:3" x14ac:dyDescent="0.35">
      <c r="A8" t="s">
        <v>49</v>
      </c>
      <c r="B8" t="s">
        <v>16</v>
      </c>
      <c r="C8" s="3">
        <v>18000</v>
      </c>
    </row>
    <row r="9" spans="1:3" x14ac:dyDescent="0.35">
      <c r="A9" t="s">
        <v>57</v>
      </c>
      <c r="B9" t="s">
        <v>58</v>
      </c>
      <c r="C9" s="3">
        <v>22000</v>
      </c>
    </row>
    <row r="10" spans="1:3" x14ac:dyDescent="0.35">
      <c r="A10" t="s">
        <v>22</v>
      </c>
      <c r="B10" t="s">
        <v>23</v>
      </c>
      <c r="C10" s="3">
        <v>12000</v>
      </c>
    </row>
    <row r="11" spans="1:3" x14ac:dyDescent="0.35">
      <c r="A11" t="s">
        <v>44</v>
      </c>
      <c r="B11" t="s">
        <v>23</v>
      </c>
      <c r="C11" s="3">
        <v>16000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abSelected="1" workbookViewId="0">
      <selection sqref="A1:D1"/>
    </sheetView>
  </sheetViews>
  <sheetFormatPr defaultRowHeight="14.5" x14ac:dyDescent="0.35"/>
  <cols>
    <col min="1" max="1" width="12" customWidth="1"/>
    <col min="2" max="2" width="75" customWidth="1"/>
    <col min="3" max="4" width="18" customWidth="1"/>
  </cols>
  <sheetData>
    <row r="1" spans="1:4" x14ac:dyDescent="0.35">
      <c r="A1" s="12" t="s">
        <v>112</v>
      </c>
      <c r="B1" s="13"/>
      <c r="C1" s="13"/>
      <c r="D1" s="13"/>
    </row>
    <row r="2" spans="1:4" x14ac:dyDescent="0.35">
      <c r="A2" s="5"/>
      <c r="B2" s="5"/>
      <c r="C2" s="5"/>
      <c r="D2" s="5"/>
    </row>
    <row r="3" spans="1:4" x14ac:dyDescent="0.35">
      <c r="A3" s="5" t="s">
        <v>113</v>
      </c>
      <c r="B3" s="5" t="s">
        <v>114</v>
      </c>
      <c r="C3" s="5"/>
      <c r="D3" s="5"/>
    </row>
    <row r="4" spans="1:4" x14ac:dyDescent="0.35">
      <c r="A4" s="5"/>
      <c r="B4" s="5"/>
      <c r="C4" s="5"/>
      <c r="D4" s="5"/>
    </row>
    <row r="5" spans="1:4" ht="29" x14ac:dyDescent="0.35">
      <c r="A5" s="6" t="s">
        <v>115</v>
      </c>
      <c r="B5" s="6"/>
      <c r="C5" s="6"/>
      <c r="D5" s="6"/>
    </row>
    <row r="6" spans="1:4" x14ac:dyDescent="0.35">
      <c r="A6" s="5">
        <v>1</v>
      </c>
      <c r="B6" s="5" t="s">
        <v>116</v>
      </c>
      <c r="C6" s="5"/>
      <c r="D6" s="5"/>
    </row>
    <row r="7" spans="1:4" x14ac:dyDescent="0.35">
      <c r="A7" s="5">
        <v>2</v>
      </c>
      <c r="B7" s="5" t="s">
        <v>117</v>
      </c>
      <c r="C7" s="5"/>
      <c r="D7" s="5"/>
    </row>
    <row r="8" spans="1:4" x14ac:dyDescent="0.35">
      <c r="A8" s="5">
        <v>3</v>
      </c>
      <c r="B8" s="5" t="s">
        <v>118</v>
      </c>
      <c r="C8" s="5"/>
      <c r="D8" s="5"/>
    </row>
    <row r="9" spans="1:4" x14ac:dyDescent="0.35">
      <c r="A9" s="5">
        <v>4</v>
      </c>
      <c r="B9" s="5" t="s">
        <v>119</v>
      </c>
      <c r="C9" s="5"/>
      <c r="D9" s="5"/>
    </row>
    <row r="10" spans="1:4" x14ac:dyDescent="0.35">
      <c r="A10" s="5"/>
      <c r="B10" s="5"/>
      <c r="C10" s="5"/>
      <c r="D10" s="5"/>
    </row>
    <row r="11" spans="1:4" ht="43.5" x14ac:dyDescent="0.35">
      <c r="A11" s="5" t="s">
        <v>120</v>
      </c>
      <c r="B11" s="5"/>
      <c r="C11" s="5"/>
      <c r="D11" s="5"/>
    </row>
    <row r="12" spans="1:4" x14ac:dyDescent="0.35">
      <c r="A12" s="6">
        <v>5</v>
      </c>
      <c r="B12" s="6" t="s">
        <v>121</v>
      </c>
      <c r="C12" s="6"/>
      <c r="D12" s="6"/>
    </row>
    <row r="13" spans="1:4" x14ac:dyDescent="0.35">
      <c r="A13" s="5">
        <v>6</v>
      </c>
      <c r="B13" s="5" t="s">
        <v>122</v>
      </c>
      <c r="C13" s="5"/>
      <c r="D13" s="5"/>
    </row>
    <row r="14" spans="1:4" x14ac:dyDescent="0.35">
      <c r="A14" s="5">
        <v>7</v>
      </c>
      <c r="B14" s="5" t="s">
        <v>123</v>
      </c>
      <c r="C14" s="5"/>
      <c r="D14" s="5"/>
    </row>
    <row r="15" spans="1:4" x14ac:dyDescent="0.35">
      <c r="A15" s="5">
        <v>8</v>
      </c>
      <c r="B15" s="5" t="s">
        <v>124</v>
      </c>
      <c r="C15" s="5"/>
      <c r="D15" s="5"/>
    </row>
    <row r="16" spans="1:4" x14ac:dyDescent="0.35">
      <c r="A16" s="5">
        <v>9</v>
      </c>
      <c r="B16" s="5" t="s">
        <v>125</v>
      </c>
      <c r="C16" s="5"/>
      <c r="D16" s="5"/>
    </row>
    <row r="17" spans="1:4" ht="29" x14ac:dyDescent="0.35">
      <c r="A17" s="5">
        <v>10</v>
      </c>
      <c r="B17" s="5" t="s">
        <v>126</v>
      </c>
      <c r="C17" s="5"/>
      <c r="D17" s="5"/>
    </row>
    <row r="18" spans="1:4" x14ac:dyDescent="0.35">
      <c r="A18" s="5">
        <v>11</v>
      </c>
      <c r="B18" s="5" t="s">
        <v>127</v>
      </c>
      <c r="C18" s="5"/>
      <c r="D18" s="5"/>
    </row>
    <row r="19" spans="1:4" x14ac:dyDescent="0.35">
      <c r="A19" s="5">
        <v>12</v>
      </c>
      <c r="B19" s="5" t="s">
        <v>128</v>
      </c>
      <c r="C19" s="5"/>
      <c r="D19" s="5"/>
    </row>
    <row r="20" spans="1:4" x14ac:dyDescent="0.35">
      <c r="A20" s="5">
        <v>13</v>
      </c>
      <c r="B20" s="5" t="s">
        <v>129</v>
      </c>
      <c r="C20" s="5"/>
      <c r="D20" s="5"/>
    </row>
    <row r="21" spans="1:4" x14ac:dyDescent="0.35">
      <c r="A21" s="6">
        <v>14</v>
      </c>
      <c r="B21" s="6" t="s">
        <v>130</v>
      </c>
      <c r="C21" s="6"/>
      <c r="D21" s="6"/>
    </row>
    <row r="22" spans="1:4" x14ac:dyDescent="0.35">
      <c r="A22" s="5"/>
      <c r="B22" s="5"/>
      <c r="C22" s="5"/>
      <c r="D22" s="5"/>
    </row>
    <row r="23" spans="1:4" ht="43.5" x14ac:dyDescent="0.35">
      <c r="A23" s="5" t="s">
        <v>131</v>
      </c>
      <c r="B23" s="5"/>
      <c r="C23" s="5"/>
      <c r="D23" s="5"/>
    </row>
    <row r="24" spans="1:4" x14ac:dyDescent="0.35">
      <c r="A24" s="5">
        <v>15</v>
      </c>
      <c r="B24" s="5" t="s">
        <v>132</v>
      </c>
      <c r="C24" s="5"/>
      <c r="D24" s="5"/>
    </row>
    <row r="25" spans="1:4" x14ac:dyDescent="0.35">
      <c r="A25" s="5">
        <v>16</v>
      </c>
      <c r="B25" s="5" t="s">
        <v>133</v>
      </c>
      <c r="C25" s="5"/>
      <c r="D25" s="5"/>
    </row>
    <row r="26" spans="1:4" x14ac:dyDescent="0.35">
      <c r="A26" s="5">
        <v>17</v>
      </c>
      <c r="B26" s="5" t="s">
        <v>134</v>
      </c>
      <c r="C26" s="5"/>
      <c r="D26" s="5"/>
    </row>
    <row r="27" spans="1:4" x14ac:dyDescent="0.35">
      <c r="A27" s="5">
        <v>18</v>
      </c>
      <c r="B27" s="5" t="s">
        <v>135</v>
      </c>
      <c r="C27" s="5"/>
      <c r="D27" s="5"/>
    </row>
    <row r="28" spans="1:4" x14ac:dyDescent="0.35">
      <c r="A28" s="5"/>
      <c r="B28" s="5"/>
      <c r="C28" s="5"/>
      <c r="D28" s="5"/>
    </row>
    <row r="29" spans="1:4" ht="29" x14ac:dyDescent="0.35">
      <c r="A29" s="6" t="s">
        <v>136</v>
      </c>
      <c r="B29" s="6"/>
      <c r="C29" s="6"/>
      <c r="D29" s="6"/>
    </row>
    <row r="30" spans="1:4" x14ac:dyDescent="0.35">
      <c r="A30" s="5">
        <v>19</v>
      </c>
      <c r="B30" s="5" t="s">
        <v>137</v>
      </c>
      <c r="C30" s="5"/>
      <c r="D30" s="5"/>
    </row>
    <row r="31" spans="1:4" x14ac:dyDescent="0.35">
      <c r="A31" s="5">
        <v>20</v>
      </c>
      <c r="B31" s="5" t="s">
        <v>138</v>
      </c>
      <c r="C31" s="5"/>
      <c r="D31" s="5"/>
    </row>
    <row r="32" spans="1:4" x14ac:dyDescent="0.35">
      <c r="A32" s="5">
        <v>21</v>
      </c>
      <c r="B32" s="5" t="s">
        <v>139</v>
      </c>
      <c r="C32" s="5"/>
      <c r="D32" s="5"/>
    </row>
    <row r="33" spans="1:4" x14ac:dyDescent="0.35">
      <c r="A33" s="5">
        <v>22</v>
      </c>
      <c r="B33" s="5" t="s">
        <v>140</v>
      </c>
      <c r="C33" s="5"/>
      <c r="D33" s="5"/>
    </row>
    <row r="34" spans="1:4" x14ac:dyDescent="0.35">
      <c r="A34" s="5">
        <v>23</v>
      </c>
      <c r="B34" s="5" t="s">
        <v>141</v>
      </c>
      <c r="C34" s="5"/>
      <c r="D34" s="5"/>
    </row>
    <row r="35" spans="1:4" x14ac:dyDescent="0.35">
      <c r="A35" s="5">
        <v>24</v>
      </c>
      <c r="B35" s="5" t="s">
        <v>142</v>
      </c>
      <c r="C35" s="5"/>
      <c r="D35" s="5"/>
    </row>
    <row r="36" spans="1:4" x14ac:dyDescent="0.35">
      <c r="A36" s="5"/>
      <c r="B36" s="5"/>
      <c r="C36" s="5"/>
      <c r="D36" s="5"/>
    </row>
    <row r="37" spans="1:4" ht="29" x14ac:dyDescent="0.35">
      <c r="A37" s="5" t="s">
        <v>143</v>
      </c>
      <c r="B37" s="5"/>
      <c r="C37" s="5"/>
      <c r="D37" s="5"/>
    </row>
    <row r="38" spans="1:4" x14ac:dyDescent="0.35">
      <c r="A38" s="6">
        <v>25</v>
      </c>
      <c r="B38" s="6" t="s">
        <v>144</v>
      </c>
      <c r="C38" s="6"/>
      <c r="D38" s="6"/>
    </row>
    <row r="39" spans="1:4" x14ac:dyDescent="0.35">
      <c r="A39" s="5">
        <v>26</v>
      </c>
      <c r="B39" s="5" t="s">
        <v>145</v>
      </c>
      <c r="C39" s="5"/>
      <c r="D39" s="5"/>
    </row>
    <row r="40" spans="1:4" x14ac:dyDescent="0.35">
      <c r="A40" s="5">
        <v>27</v>
      </c>
      <c r="B40" s="5" t="s">
        <v>146</v>
      </c>
      <c r="C40" s="5"/>
      <c r="D40" s="5"/>
    </row>
    <row r="41" spans="1:4" x14ac:dyDescent="0.35">
      <c r="A41" s="5">
        <v>28</v>
      </c>
      <c r="B41" s="5" t="s">
        <v>147</v>
      </c>
      <c r="C41" s="5"/>
      <c r="D41" s="5"/>
    </row>
    <row r="42" spans="1:4" x14ac:dyDescent="0.35">
      <c r="A42" s="5">
        <v>29</v>
      </c>
      <c r="B42" s="5" t="s">
        <v>148</v>
      </c>
      <c r="C42" s="5"/>
      <c r="D42" s="5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pane ySplit="3" topLeftCell="A45" activePane="bottomLeft" state="frozen"/>
      <selection pane="bottomLeft" activeCell="G49" sqref="G49"/>
    </sheetView>
  </sheetViews>
  <sheetFormatPr defaultRowHeight="14.5" x14ac:dyDescent="0.35"/>
  <cols>
    <col min="1" max="8" width="18" customWidth="1"/>
  </cols>
  <sheetData>
    <row r="1" spans="1:8" x14ac:dyDescent="0.35">
      <c r="A1" s="14" t="s">
        <v>149</v>
      </c>
      <c r="B1" s="15"/>
      <c r="C1" s="15"/>
      <c r="D1" s="15"/>
      <c r="E1" s="15"/>
      <c r="F1" s="15"/>
      <c r="G1" s="15"/>
      <c r="H1" s="15"/>
    </row>
    <row r="2" spans="1:8" x14ac:dyDescent="0.35">
      <c r="A2" s="15"/>
      <c r="B2" s="15"/>
      <c r="C2" s="15"/>
      <c r="D2" s="15"/>
      <c r="E2" s="15"/>
      <c r="F2" s="15"/>
      <c r="G2" s="15"/>
      <c r="H2" s="15"/>
    </row>
    <row r="4" spans="1:8" ht="18.5" x14ac:dyDescent="0.45">
      <c r="A4" s="7" t="s">
        <v>150</v>
      </c>
    </row>
    <row r="6" spans="1:8" x14ac:dyDescent="0.35">
      <c r="A6" s="17" t="s">
        <v>151</v>
      </c>
      <c r="C6" s="17" t="s">
        <v>152</v>
      </c>
      <c r="E6" s="17" t="s">
        <v>153</v>
      </c>
      <c r="G6" s="17" t="s">
        <v>154</v>
      </c>
    </row>
    <row r="8" spans="1:8" x14ac:dyDescent="0.35">
      <c r="A8" s="8"/>
    </row>
    <row r="9" spans="1:8" ht="21" x14ac:dyDescent="0.5">
      <c r="A9" s="19">
        <f>'Raw Data'!J62</f>
        <v>6227500</v>
      </c>
      <c r="C9" s="20">
        <f>'Raw Data'!N5</f>
        <v>334</v>
      </c>
      <c r="E9" s="21">
        <f>'Raw Data'!A63</f>
        <v>60</v>
      </c>
      <c r="G9" s="18">
        <v>103791.67</v>
      </c>
    </row>
  </sheetData>
  <mergeCells count="1">
    <mergeCell ref="A1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person perfomance</vt:lpstr>
      <vt:lpstr>product strategy</vt:lpstr>
      <vt:lpstr>regional perfomance</vt:lpstr>
      <vt:lpstr>Sheet6</vt:lpstr>
      <vt:lpstr>Raw Data</vt:lpstr>
      <vt:lpstr>Product Lookup</vt:lpstr>
      <vt:lpstr>Project Tasks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OKOTH</cp:lastModifiedBy>
  <dcterms:created xsi:type="dcterms:W3CDTF">2026-10-05T07:38:16Z</dcterms:created>
  <dcterms:modified xsi:type="dcterms:W3CDTF">2026-10-12T10:26:31Z</dcterms:modified>
</cp:coreProperties>
</file>